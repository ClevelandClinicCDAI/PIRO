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taff_Hardware\"/>
    </mc:Choice>
  </mc:AlternateContent>
  <xr:revisionPtr revIDLastSave="0" documentId="13_ncr:1_{CEAB25E4-23E6-4C2A-9AC8-5B4BBFF92375}" xr6:coauthVersionLast="47" xr6:coauthVersionMax="47" xr10:uidLastSave="{00000000-0000-0000-0000-000000000000}"/>
  <bookViews>
    <workbookView xWindow="-110" yWindow="-110" windowWidth="38620" windowHeight="21100" xr2:uid="{221704E6-50B1-4E3A-BF5F-9C2009F4EA07}"/>
  </bookViews>
  <sheets>
    <sheet name="Onsite" sheetId="1" r:id="rId1"/>
    <sheet name="WFH" sheetId="4" r:id="rId2"/>
    <sheet name="Available Devices" sheetId="3" r:id="rId3"/>
  </sheets>
  <definedNames>
    <definedName name="_xlnm._FilterDatabase" localSheetId="0" hidden="1">Onsite!$A$1:$A$2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AA2" i="1"/>
  <c r="AA3" i="1"/>
  <c r="Z23" i="4"/>
  <c r="Z24" i="4" s="1"/>
  <c r="Z20" i="4"/>
  <c r="Z21" i="4" s="1"/>
  <c r="Z17" i="4"/>
  <c r="Z16" i="4"/>
  <c r="Z15" i="4"/>
  <c r="Z5" i="4"/>
  <c r="Z11" i="4" s="1"/>
  <c r="Z2" i="4"/>
  <c r="Z3" i="4" s="1"/>
  <c r="Z8" i="4"/>
  <c r="Z12" i="4" s="1"/>
  <c r="AA26" i="1"/>
  <c r="AA29" i="1"/>
  <c r="AA30" i="1" s="1"/>
  <c r="AA25" i="1"/>
  <c r="AA24" i="1"/>
  <c r="AA13" i="1"/>
  <c r="AA14" i="1"/>
  <c r="AA15" i="1"/>
  <c r="AA10" i="1"/>
  <c r="AA9" i="1"/>
  <c r="AA8" i="1"/>
  <c r="AA7" i="1"/>
  <c r="Z13" i="4" l="1"/>
  <c r="Z6" i="4"/>
  <c r="AA27" i="1"/>
  <c r="Z18" i="4"/>
  <c r="AA21" i="1"/>
  <c r="AA5" i="1"/>
  <c r="AA16" i="1"/>
  <c r="AA11" i="1"/>
  <c r="AA19" i="1"/>
  <c r="AA20" i="1"/>
  <c r="AA18" i="1"/>
  <c r="Z9" i="4" l="1"/>
  <c r="AA22" i="1"/>
</calcChain>
</file>

<file path=xl/sharedStrings.xml><?xml version="1.0" encoding="utf-8"?>
<sst xmlns="http://schemas.openxmlformats.org/spreadsheetml/2006/main" count="2101" uniqueCount="707">
  <si>
    <t>Area</t>
  </si>
  <si>
    <t>Building</t>
  </si>
  <si>
    <t>Room</t>
  </si>
  <si>
    <t>Model</t>
  </si>
  <si>
    <t>LBA06123W23683D</t>
  </si>
  <si>
    <t>FNXRZ44</t>
  </si>
  <si>
    <t>Main Campus</t>
  </si>
  <si>
    <t>A</t>
  </si>
  <si>
    <t>A6-123</t>
  </si>
  <si>
    <t>Piliang, Melissa</t>
  </si>
  <si>
    <t>3D Connect Mouse</t>
  </si>
  <si>
    <t>LBA06134W43569D</t>
  </si>
  <si>
    <t>5M9YK84</t>
  </si>
  <si>
    <t>A6-134</t>
  </si>
  <si>
    <t>Fernandez, Anthony</t>
  </si>
  <si>
    <t>LBA06509W01468D</t>
  </si>
  <si>
    <t>4HBLZ84</t>
  </si>
  <si>
    <t>A6-509</t>
  </si>
  <si>
    <t>Bergfeld, Wilma</t>
  </si>
  <si>
    <t>LBCPX206W89625D</t>
  </si>
  <si>
    <t>DL9YK84</t>
  </si>
  <si>
    <t>Regional</t>
  </si>
  <si>
    <t>Akron</t>
  </si>
  <si>
    <t>CPX1-206</t>
  </si>
  <si>
    <t>LBCPX208W89624D</t>
  </si>
  <si>
    <t>5L9YK84</t>
  </si>
  <si>
    <t>CPX1-208</t>
  </si>
  <si>
    <t>Shared</t>
  </si>
  <si>
    <t>LBCPX271W89622D</t>
  </si>
  <si>
    <t>2M9YK84</t>
  </si>
  <si>
    <t>Mangaru, Zareema</t>
  </si>
  <si>
    <t>LBCPX272W89621D</t>
  </si>
  <si>
    <t>JL9YK84</t>
  </si>
  <si>
    <t>Powell, Angela</t>
  </si>
  <si>
    <t>LBCPX273W89620D</t>
  </si>
  <si>
    <t>6M9YK84</t>
  </si>
  <si>
    <t>Crabbe, Andrew</t>
  </si>
  <si>
    <t>LBCPX274W89619D</t>
  </si>
  <si>
    <t>8M9YK84</t>
  </si>
  <si>
    <t>CPX1-274</t>
  </si>
  <si>
    <t>Speakman, Eric</t>
  </si>
  <si>
    <t>LBCPX274WJ1256D</t>
  </si>
  <si>
    <t>44YGWB4</t>
  </si>
  <si>
    <t>Lane, Jason</t>
  </si>
  <si>
    <t>LBCPX275W89617D</t>
  </si>
  <si>
    <t>6L9YK84</t>
  </si>
  <si>
    <t>Lott, Sarah</t>
  </si>
  <si>
    <t>LBCPX276W89616D</t>
  </si>
  <si>
    <t>4M9YK84</t>
  </si>
  <si>
    <t>LBAV2125W66969D</t>
  </si>
  <si>
    <t>Avon</t>
  </si>
  <si>
    <t>AV2-125</t>
  </si>
  <si>
    <t>Reith, John</t>
  </si>
  <si>
    <t>LBAV2149W98336D</t>
  </si>
  <si>
    <t>2LXRZ44</t>
  </si>
  <si>
    <t>AV2-149</t>
  </si>
  <si>
    <t>LBBD1409W80874D</t>
  </si>
  <si>
    <t>GBBPZ84</t>
  </si>
  <si>
    <t>Beachwood FHC</t>
  </si>
  <si>
    <t>BD1-409</t>
  </si>
  <si>
    <t>Yes</t>
  </si>
  <si>
    <t>LBAC3100W81696D</t>
  </si>
  <si>
    <t>CCAC</t>
  </si>
  <si>
    <t>AC3-100</t>
  </si>
  <si>
    <t>Kilpatrick, Scott</t>
  </si>
  <si>
    <t>LBAC3103W85249D</t>
  </si>
  <si>
    <t>JNGTW54</t>
  </si>
  <si>
    <t>AC3-103</t>
  </si>
  <si>
    <t>Peerwani, Ziad</t>
  </si>
  <si>
    <t>LBE02002W82940D</t>
  </si>
  <si>
    <t>4PGTW54</t>
  </si>
  <si>
    <t>E</t>
  </si>
  <si>
    <t>E2-002</t>
  </si>
  <si>
    <t>Mukhopadhyay, Sanjay</t>
  </si>
  <si>
    <t>LBE02003W79251D</t>
  </si>
  <si>
    <t>DKXRZ44</t>
  </si>
  <si>
    <t>E2-003</t>
  </si>
  <si>
    <t>LBE0B131W83693D</t>
  </si>
  <si>
    <t>HNXRZ44</t>
  </si>
  <si>
    <t>Santos Martins, Celeste</t>
  </si>
  <si>
    <t>LBE0B56AW82934D</t>
  </si>
  <si>
    <t>CNXRZ44</t>
  </si>
  <si>
    <t>Armstrong, Susan</t>
  </si>
  <si>
    <t>Fairview</t>
  </si>
  <si>
    <t>FV1-227</t>
  </si>
  <si>
    <t xml:space="preserve">Lapinski, James </t>
  </si>
  <si>
    <t>LBFV1225W66970D</t>
  </si>
  <si>
    <t>CDW5D14</t>
  </si>
  <si>
    <t>FV1-225</t>
  </si>
  <si>
    <t>Hamadeh, Fatima</t>
  </si>
  <si>
    <t>LBFV1226W82718D</t>
  </si>
  <si>
    <t>6NXRZ44</t>
  </si>
  <si>
    <t>FV1-226</t>
  </si>
  <si>
    <t>LBFV1228W99283D</t>
  </si>
  <si>
    <t>CBBPZ84</t>
  </si>
  <si>
    <t>FV1-228</t>
  </si>
  <si>
    <t>LBHC2410W79253D</t>
  </si>
  <si>
    <t>9WJTW54</t>
  </si>
  <si>
    <t>Hillcrest</t>
  </si>
  <si>
    <t>HC2-410</t>
  </si>
  <si>
    <t>Porter, Susan</t>
  </si>
  <si>
    <t>LBHC2410W82931D</t>
  </si>
  <si>
    <t>Plesec, Thomas</t>
  </si>
  <si>
    <t>LBHC2410W82932D</t>
  </si>
  <si>
    <t>3PGTW54</t>
  </si>
  <si>
    <t>LBND2294W82955D</t>
  </si>
  <si>
    <t>HMXRZ44</t>
  </si>
  <si>
    <t>Indian River</t>
  </si>
  <si>
    <t>ND2-294</t>
  </si>
  <si>
    <t>Macleay, Lachlan</t>
  </si>
  <si>
    <t>LBND2295W82956D</t>
  </si>
  <si>
    <t>9NXRZ44</t>
  </si>
  <si>
    <t>ND2-295</t>
  </si>
  <si>
    <t>Feng, Dian</t>
  </si>
  <si>
    <t>LBND2296W82957D</t>
  </si>
  <si>
    <t>4NXRZ44</t>
  </si>
  <si>
    <t>ND2-296</t>
  </si>
  <si>
    <t>Zhou, Jain</t>
  </si>
  <si>
    <t>LBND2297WJ0193D</t>
  </si>
  <si>
    <t>751HWB4</t>
  </si>
  <si>
    <t>ND2-297</t>
  </si>
  <si>
    <t>McCollum, Neal</t>
  </si>
  <si>
    <t>LBL01217WJ0632D</t>
  </si>
  <si>
    <t>GZ026G4</t>
  </si>
  <si>
    <t>L</t>
  </si>
  <si>
    <t>L1-217</t>
  </si>
  <si>
    <t>Roberts, Daniel</t>
  </si>
  <si>
    <t>LBL01246W82936D</t>
  </si>
  <si>
    <t>L1-246</t>
  </si>
  <si>
    <t>Billings, Steven</t>
  </si>
  <si>
    <t>LBL01247WJ2380D</t>
  </si>
  <si>
    <t>1LVTGH4</t>
  </si>
  <si>
    <t>L1-247</t>
  </si>
  <si>
    <t>LBL01248WJ2379D</t>
  </si>
  <si>
    <t>JKVTGH4</t>
  </si>
  <si>
    <t>L1-248</t>
  </si>
  <si>
    <t>Cruise, Michael</t>
  </si>
  <si>
    <t>LBL01253W79258D</t>
  </si>
  <si>
    <t>J1J6Z44</t>
  </si>
  <si>
    <t>L1-253</t>
  </si>
  <si>
    <t>Dyhdalo, Kathryn</t>
  </si>
  <si>
    <t>LBL01254WD3681D</t>
  </si>
  <si>
    <t>CGW5D14</t>
  </si>
  <si>
    <t>L1-254</t>
  </si>
  <si>
    <t>Lewis, Gloria H.</t>
  </si>
  <si>
    <t>LBL01255W79254D</t>
  </si>
  <si>
    <t>9YBKZ24</t>
  </si>
  <si>
    <t>L1-255</t>
  </si>
  <si>
    <t>Policarpio-Nicolas, Maria</t>
  </si>
  <si>
    <t>LBL01261WE2635D</t>
  </si>
  <si>
    <t>HDW5D14</t>
  </si>
  <si>
    <t>L1-261</t>
  </si>
  <si>
    <t>Doxtader, Erika</t>
  </si>
  <si>
    <t>LBL01332W58824D</t>
  </si>
  <si>
    <t>1GP4X04</t>
  </si>
  <si>
    <t>L1-332</t>
  </si>
  <si>
    <t>Gilmore, Hannah</t>
  </si>
  <si>
    <t>LBL01370W74504D</t>
  </si>
  <si>
    <t>5GW5D14</t>
  </si>
  <si>
    <t>Williamson, Sean</t>
  </si>
  <si>
    <t>LBL01378W67239D</t>
  </si>
  <si>
    <t>3HW5D14</t>
  </si>
  <si>
    <t>L1-378</t>
  </si>
  <si>
    <t>Mneimneh, Wadad</t>
  </si>
  <si>
    <t>LBL01407W96619D</t>
  </si>
  <si>
    <t>H3V9H04</t>
  </si>
  <si>
    <t>L1-407</t>
  </si>
  <si>
    <t>McAfee, John</t>
  </si>
  <si>
    <t>LBL01407WJ0240D</t>
  </si>
  <si>
    <t>Wang, Xi</t>
  </si>
  <si>
    <t>LBL02153W81504D</t>
  </si>
  <si>
    <t>BWJTW54</t>
  </si>
  <si>
    <t>L2-153</t>
  </si>
  <si>
    <t>Fritchie, Karen</t>
  </si>
  <si>
    <t>LBL02165W99342D</t>
  </si>
  <si>
    <t>6BBPZ84</t>
  </si>
  <si>
    <t>L2-165</t>
  </si>
  <si>
    <t>Charles, Phillip</t>
  </si>
  <si>
    <t>LBL02190W82937D</t>
  </si>
  <si>
    <t>8PGTW54</t>
  </si>
  <si>
    <t>L2-190</t>
  </si>
  <si>
    <t>Chiesa-Vottero, Andreas</t>
  </si>
  <si>
    <t>No second monitor</t>
  </si>
  <si>
    <t>LBL02191W82943D</t>
  </si>
  <si>
    <t>1PGTW54</t>
  </si>
  <si>
    <t>L2-191</t>
  </si>
  <si>
    <t>Yeaney, Gabrielle</t>
  </si>
  <si>
    <t>LBL02211W82935D</t>
  </si>
  <si>
    <t>9PGTW54</t>
  </si>
  <si>
    <t>L2-211</t>
  </si>
  <si>
    <t>Arrossi, Andrea</t>
  </si>
  <si>
    <t>LBL02213W79249D</t>
  </si>
  <si>
    <t>7YBKZ24</t>
  </si>
  <si>
    <t>L2-213</t>
  </si>
  <si>
    <t>Xing, Juan</t>
  </si>
  <si>
    <t>LBL02214W79256D</t>
  </si>
  <si>
    <t>4LXRZ44</t>
  </si>
  <si>
    <t>L2-214</t>
  </si>
  <si>
    <t>Golusin, Marko</t>
  </si>
  <si>
    <t>LBL02216W82939D</t>
  </si>
  <si>
    <t>GNXRZ44</t>
  </si>
  <si>
    <t>L2-216</t>
  </si>
  <si>
    <t>Hoda, Raza</t>
  </si>
  <si>
    <t>LBL02217W82944D</t>
  </si>
  <si>
    <t>6PGTW54</t>
  </si>
  <si>
    <t>L2-217</t>
  </si>
  <si>
    <t>Zhang, Gloria</t>
  </si>
  <si>
    <t>LBL02221WD2567D</t>
  </si>
  <si>
    <t>2N9YK84</t>
  </si>
  <si>
    <t>L2-221</t>
  </si>
  <si>
    <t>Rabinowitz, Laura</t>
  </si>
  <si>
    <t>LBL02222W43585D</t>
  </si>
  <si>
    <t>4N9YK84</t>
  </si>
  <si>
    <t>L2-222</t>
  </si>
  <si>
    <t>Hoschar, Aaron</t>
  </si>
  <si>
    <t>LBL02223W79259D</t>
  </si>
  <si>
    <t>9FW5D14</t>
  </si>
  <si>
    <t>L2-223</t>
  </si>
  <si>
    <t>Chute, Deborah</t>
  </si>
  <si>
    <t>LBL02230WB5401D</t>
  </si>
  <si>
    <t>9GW5D14</t>
  </si>
  <si>
    <t>L2-230</t>
  </si>
  <si>
    <t>Oshilaja, Olaronke</t>
  </si>
  <si>
    <t>LBL02231W81580D</t>
  </si>
  <si>
    <t>BKXRZ44</t>
  </si>
  <si>
    <t>L2-231</t>
  </si>
  <si>
    <t>Ko, Jennifer</t>
  </si>
  <si>
    <t>LBL02232W79252D</t>
  </si>
  <si>
    <t>8WJTW54</t>
  </si>
  <si>
    <t>L2-232</t>
  </si>
  <si>
    <t>Shah, Akeesha</t>
  </si>
  <si>
    <t>LBL02233W81682D</t>
  </si>
  <si>
    <t>8NXRZ44</t>
  </si>
  <si>
    <t>L2-233</t>
  </si>
  <si>
    <t>Prayson, Richard</t>
  </si>
  <si>
    <t>LBL02234W79257D</t>
  </si>
  <si>
    <t>DWJTW54</t>
  </si>
  <si>
    <t>L2-234</t>
  </si>
  <si>
    <t>Elsheikh, Tarik</t>
  </si>
  <si>
    <t>LBL02235W81664D</t>
  </si>
  <si>
    <t>1NXRZ44</t>
  </si>
  <si>
    <t>L2-235</t>
  </si>
  <si>
    <t>Myles, Jonathan</t>
  </si>
  <si>
    <t>LBL02238WD5504D</t>
  </si>
  <si>
    <t>FGW5D14</t>
  </si>
  <si>
    <t>L2-238</t>
  </si>
  <si>
    <t>Rodriguez, Rene</t>
  </si>
  <si>
    <t>LBL02239W82942D</t>
  </si>
  <si>
    <t>BPGTW54</t>
  </si>
  <si>
    <t>L2-239</t>
  </si>
  <si>
    <t>Tan, Carmela</t>
  </si>
  <si>
    <t>LBL02240W81542D</t>
  </si>
  <si>
    <t>JWJTW54</t>
  </si>
  <si>
    <t>L2-240</t>
  </si>
  <si>
    <t>Przybycin, Christopher</t>
  </si>
  <si>
    <t>LBL02242W79261D</t>
  </si>
  <si>
    <t>H1J6Z44</t>
  </si>
  <si>
    <t>L2-242</t>
  </si>
  <si>
    <t>Booth, Christine</t>
  </si>
  <si>
    <t>LBL02263W69702D</t>
  </si>
  <si>
    <t>1JW5D14</t>
  </si>
  <si>
    <t>Soslow, Robert</t>
  </si>
  <si>
    <t>LBL02265W67773D</t>
  </si>
  <si>
    <t>8HW5D14</t>
  </si>
  <si>
    <t>Nasir, Aqsa</t>
  </si>
  <si>
    <t>LBL02266W81685D</t>
  </si>
  <si>
    <t>5NXRZ44</t>
  </si>
  <si>
    <t>Garg, Karuna</t>
  </si>
  <si>
    <t>LBL02342W81515D</t>
  </si>
  <si>
    <t>CWJTW54</t>
  </si>
  <si>
    <t>L2-342</t>
  </si>
  <si>
    <t>Rubin, Brian</t>
  </si>
  <si>
    <t>LBL02350W79260D</t>
  </si>
  <si>
    <t>71J6Z44</t>
  </si>
  <si>
    <t>L2-350</t>
  </si>
  <si>
    <t>Brainard, Jennifer</t>
  </si>
  <si>
    <t>LBL02351W82941D</t>
  </si>
  <si>
    <t>2PGTW54</t>
  </si>
  <si>
    <t>L2-351</t>
  </si>
  <si>
    <t>Rowe, J. Jordi</t>
  </si>
  <si>
    <t>LBL03108W79742D</t>
  </si>
  <si>
    <t>9BBPZ84</t>
  </si>
  <si>
    <t>L3-108</t>
  </si>
  <si>
    <t>Duarte Achcar, Rosane</t>
  </si>
  <si>
    <t>LBL03203WD5531D</t>
  </si>
  <si>
    <t>G0BWG04</t>
  </si>
  <si>
    <t>L3-203</t>
  </si>
  <si>
    <t>Crane, Genevieve</t>
  </si>
  <si>
    <t>LBL03205W98713D</t>
  </si>
  <si>
    <t>BBBPZ84</t>
  </si>
  <si>
    <t>L3-205</t>
  </si>
  <si>
    <t>Owczarczyk, Anna B.</t>
  </si>
  <si>
    <t>LBL03211W98715D</t>
  </si>
  <si>
    <t>JBBPZ84</t>
  </si>
  <si>
    <t>L3-211</t>
  </si>
  <si>
    <t>Theil, Karl</t>
  </si>
  <si>
    <t>LBL03217W98714D</t>
  </si>
  <si>
    <t>8BBPZ84</t>
  </si>
  <si>
    <t>L3-217</t>
  </si>
  <si>
    <t>Rogers, Joyce</t>
  </si>
  <si>
    <t>LBL03218W98712D</t>
  </si>
  <si>
    <t>HBBPZ84</t>
  </si>
  <si>
    <t>L3-218</t>
  </si>
  <si>
    <t>Nichols, Meredith M.</t>
  </si>
  <si>
    <t>LBL03221W98710D</t>
  </si>
  <si>
    <t>7BBPZ84</t>
  </si>
  <si>
    <t>L3-221</t>
  </si>
  <si>
    <t>Cook, James</t>
  </si>
  <si>
    <t>LBL03226W98711D</t>
  </si>
  <si>
    <t>1CBPZ84</t>
  </si>
  <si>
    <t>L3-226</t>
  </si>
  <si>
    <t>Nwogbo, Okechukwu</t>
  </si>
  <si>
    <t>LBL03227W67448D</t>
  </si>
  <si>
    <t>BDW5D14</t>
  </si>
  <si>
    <t>L3-227</t>
  </si>
  <si>
    <t>Moore, Erika</t>
  </si>
  <si>
    <t>LBL03228W67236D</t>
  </si>
  <si>
    <t>7HW5D14</t>
  </si>
  <si>
    <t>Stojanov, Ivan</t>
  </si>
  <si>
    <t>LBL03229WJ2145D</t>
  </si>
  <si>
    <t>1LXRZ44</t>
  </si>
  <si>
    <t>L3-229</t>
  </si>
  <si>
    <t>Geyer, Julia</t>
  </si>
  <si>
    <t>LBL03309W67441D</t>
  </si>
  <si>
    <t>2HW5D14</t>
  </si>
  <si>
    <t>L3-309</t>
  </si>
  <si>
    <t>Dermawan, Josephine Kam Tai</t>
  </si>
  <si>
    <t>LBL03328W69746D</t>
  </si>
  <si>
    <t>2FW5D14</t>
  </si>
  <si>
    <t>L3-328</t>
  </si>
  <si>
    <t>Salaria, Safia</t>
  </si>
  <si>
    <t>LBL03329W67376D</t>
  </si>
  <si>
    <t>GGW5D14</t>
  </si>
  <si>
    <t>L3-329</t>
  </si>
  <si>
    <t>Moh, Michelle</t>
  </si>
  <si>
    <t>LBL04108W67775D</t>
  </si>
  <si>
    <t>9DW5D14</t>
  </si>
  <si>
    <t>L4-108</t>
  </si>
  <si>
    <t>Bell, Phoenix</t>
  </si>
  <si>
    <t>LBL04138WC9430D</t>
  </si>
  <si>
    <t>1HW5D14</t>
  </si>
  <si>
    <t>L4-138</t>
  </si>
  <si>
    <t>Nguyen, Jane</t>
  </si>
  <si>
    <t>LBL04141W74495D</t>
  </si>
  <si>
    <t>6GW5D14</t>
  </si>
  <si>
    <t>L4-141</t>
  </si>
  <si>
    <t>Savage, Erica</t>
  </si>
  <si>
    <t>LBL04141WD5522D</t>
  </si>
  <si>
    <t>35JSG04</t>
  </si>
  <si>
    <t>Zhang, Xuefeng</t>
  </si>
  <si>
    <t>LBL04143W78888D</t>
  </si>
  <si>
    <t>81J6Z44</t>
  </si>
  <si>
    <t>L4-143</t>
  </si>
  <si>
    <t>Fulmer, Clifton</t>
  </si>
  <si>
    <t>LBL04146W97634D</t>
  </si>
  <si>
    <t>HGW5D14</t>
  </si>
  <si>
    <t>L4-146</t>
  </si>
  <si>
    <t>Gordon, Ilyssa</t>
  </si>
  <si>
    <t>LBL04147W89663D</t>
  </si>
  <si>
    <t>2PXRZ44</t>
  </si>
  <si>
    <t>L4-147</t>
  </si>
  <si>
    <t>Robertson, Scott</t>
  </si>
  <si>
    <t>LBL04148W67454D</t>
  </si>
  <si>
    <t>JCW5D14</t>
  </si>
  <si>
    <t>L4-148</t>
  </si>
  <si>
    <t>Krings, Gregor</t>
  </si>
  <si>
    <t>LBL04148WE2657D</t>
  </si>
  <si>
    <t>45JSG04</t>
  </si>
  <si>
    <t>Allende, Daniela</t>
  </si>
  <si>
    <t>LBL04149WC9431D</t>
  </si>
  <si>
    <t>3PXRZ44</t>
  </si>
  <si>
    <t>L4-149</t>
  </si>
  <si>
    <t>Joehlin-Price, Amy</t>
  </si>
  <si>
    <t>LBL04155W74496D</t>
  </si>
  <si>
    <t>BFW5D14</t>
  </si>
  <si>
    <t>L4-155</t>
  </si>
  <si>
    <t>Sweeney, Jacob R.</t>
  </si>
  <si>
    <t>LBL04156W78887D</t>
  </si>
  <si>
    <t>2D62H04</t>
  </si>
  <si>
    <t>L4-156</t>
  </si>
  <si>
    <t>Friedman, Kenneth</t>
  </si>
  <si>
    <t>LBL04157W67772D</t>
  </si>
  <si>
    <t>FDW5D14</t>
  </si>
  <si>
    <t>L4-157</t>
  </si>
  <si>
    <t>Hu, Shaomin</t>
  </si>
  <si>
    <t>LBL04158W67696D</t>
  </si>
  <si>
    <t>6WJTW54</t>
  </si>
  <si>
    <t>L4-158</t>
  </si>
  <si>
    <t>Ooms, Kaitlyn</t>
  </si>
  <si>
    <t>LBL04159W74494D</t>
  </si>
  <si>
    <t>7GW5D14</t>
  </si>
  <si>
    <t>L4-159</t>
  </si>
  <si>
    <t>Elsoukkary, Sarah</t>
  </si>
  <si>
    <t>LBL04161W74682D</t>
  </si>
  <si>
    <t>FFW5D14</t>
  </si>
  <si>
    <t>L4-161</t>
  </si>
  <si>
    <t>Forgo, Erna</t>
  </si>
  <si>
    <t>LBL04170W81564D</t>
  </si>
  <si>
    <t>CKXRZ44</t>
  </si>
  <si>
    <t>L4-170</t>
  </si>
  <si>
    <t>Griffith, Christopher</t>
  </si>
  <si>
    <t>LBL04171W81638D</t>
  </si>
  <si>
    <t>GKXRZ44</t>
  </si>
  <si>
    <t>L4-171</t>
  </si>
  <si>
    <t>McIntire, Patrick</t>
  </si>
  <si>
    <t>LBL04182W81683D</t>
  </si>
  <si>
    <t>GMXRZ44</t>
  </si>
  <si>
    <t>L4-182</t>
  </si>
  <si>
    <t>Ronen, Shira</t>
  </si>
  <si>
    <t>LBL04183W81684D</t>
  </si>
  <si>
    <t>7NXRZ44</t>
  </si>
  <si>
    <t>L4-183</t>
  </si>
  <si>
    <t>Sciallis, Andrew P.</t>
  </si>
  <si>
    <t>LBL04184W81522D</t>
  </si>
  <si>
    <t>HKXRZ44</t>
  </si>
  <si>
    <t>L4-184</t>
  </si>
  <si>
    <t>Alaghehbandan, Reza</t>
  </si>
  <si>
    <t>LBL04185W78885D</t>
  </si>
  <si>
    <t>5YBKZ24</t>
  </si>
  <si>
    <t>L4-185</t>
  </si>
  <si>
    <t>El Hag, Mohamed</t>
  </si>
  <si>
    <t>LBL04186W82938D</t>
  </si>
  <si>
    <t>1PXRZ44</t>
  </si>
  <si>
    <t>L4-186</t>
  </si>
  <si>
    <t>Hashem, Sherin</t>
  </si>
  <si>
    <t>LBL04187WH2092D</t>
  </si>
  <si>
    <t>55JSG04</t>
  </si>
  <si>
    <t>L4-187</t>
  </si>
  <si>
    <t>Akki, Ashwin</t>
  </si>
  <si>
    <t>LBL04188W82933D</t>
  </si>
  <si>
    <t>7PGTW54</t>
  </si>
  <si>
    <t>L4-188</t>
  </si>
  <si>
    <t>Consavage, Nichole</t>
  </si>
  <si>
    <t>LBL20210W67774D</t>
  </si>
  <si>
    <t>4DW5D14</t>
  </si>
  <si>
    <t>L2-210</t>
  </si>
  <si>
    <t>McKenney, Amy</t>
  </si>
  <si>
    <t>LBL20237W67776D</t>
  </si>
  <si>
    <t>8DW5D14</t>
  </si>
  <si>
    <t>L2-237</t>
  </si>
  <si>
    <t>Halushka, Marc</t>
  </si>
  <si>
    <t>LBL30311W67694D</t>
  </si>
  <si>
    <t>1DW5D14</t>
  </si>
  <si>
    <t>L3-311</t>
  </si>
  <si>
    <t>Kao, Chia-Sui</t>
  </si>
  <si>
    <t>LBL40139W67697D</t>
  </si>
  <si>
    <t>5FW5D14</t>
  </si>
  <si>
    <t>L4-139</t>
  </si>
  <si>
    <t>Chaari, Rema</t>
  </si>
  <si>
    <t>LBL4141BW81552D</t>
  </si>
  <si>
    <t>FKXRZ44</t>
  </si>
  <si>
    <t>L4-141B</t>
  </si>
  <si>
    <t>Cracolici, Vincent</t>
  </si>
  <si>
    <t>LBL4151AW78889D</t>
  </si>
  <si>
    <t>83J6Z44</t>
  </si>
  <si>
    <t>L4-151A</t>
  </si>
  <si>
    <t>Goldblum, John</t>
  </si>
  <si>
    <t>LBL4TESTWJ9843D</t>
  </si>
  <si>
    <t>25JSG04</t>
  </si>
  <si>
    <t>L4 Test Cube</t>
  </si>
  <si>
    <t>Overton, John</t>
  </si>
  <si>
    <t>LBLSTAFFWJ8908D</t>
  </si>
  <si>
    <t>C51HWB4</t>
  </si>
  <si>
    <t>Smith, Benjamin</t>
  </si>
  <si>
    <t>LBLL1127WG3870D</t>
  </si>
  <si>
    <t>2MM3WX3</t>
  </si>
  <si>
    <t>LL</t>
  </si>
  <si>
    <t>LL1-127</t>
  </si>
  <si>
    <t>Wang, Hannah Y.</t>
  </si>
  <si>
    <t>LBLL2120W69728D</t>
  </si>
  <si>
    <t>HFW5D14</t>
  </si>
  <si>
    <t>LL2-120</t>
  </si>
  <si>
    <t>Xu, Xuan</t>
  </si>
  <si>
    <t>LBLL2138W69598D</t>
  </si>
  <si>
    <t>7FW5D14</t>
  </si>
  <si>
    <t>LL2-138</t>
  </si>
  <si>
    <t>Abou Shaar, Rand</t>
  </si>
  <si>
    <t>LBLL2203W98390D</t>
  </si>
  <si>
    <t>DBBPZ84</t>
  </si>
  <si>
    <t>LL2-203</t>
  </si>
  <si>
    <t>LBLL3123W67693D</t>
  </si>
  <si>
    <t>3DW5D14</t>
  </si>
  <si>
    <t>LL3-123</t>
  </si>
  <si>
    <t>Tomaszewski, Kristen</t>
  </si>
  <si>
    <t>LBLL3125W67695D</t>
  </si>
  <si>
    <t>4HW5D14</t>
  </si>
  <si>
    <t>LL3-125</t>
  </si>
  <si>
    <t>Herlitz, Leal</t>
  </si>
  <si>
    <t>LBLL3131W67442D</t>
  </si>
  <si>
    <t>6HW5D14</t>
  </si>
  <si>
    <t>LL3-131</t>
  </si>
  <si>
    <t>Huang, Yuan</t>
  </si>
  <si>
    <t>LBLL3141W69320D</t>
  </si>
  <si>
    <t>8GW5D14</t>
  </si>
  <si>
    <t>LL3-141</t>
  </si>
  <si>
    <t>Kuperman, Michael</t>
  </si>
  <si>
    <t>LBMA2188W73790D</t>
  </si>
  <si>
    <t>GDW5D14</t>
  </si>
  <si>
    <t>Marymount</t>
  </si>
  <si>
    <t>MA2-188</t>
  </si>
  <si>
    <t>LBMA2191W75053D</t>
  </si>
  <si>
    <t>MA2-191</t>
  </si>
  <si>
    <t>LBMC2104W81985D</t>
  </si>
  <si>
    <t>JKXRZ44</t>
  </si>
  <si>
    <t>Mercy</t>
  </si>
  <si>
    <t>MCY2-104</t>
  </si>
  <si>
    <t>Safar, Aida</t>
  </si>
  <si>
    <t>LBMC2106W81794D</t>
  </si>
  <si>
    <t>5LXRZ44</t>
  </si>
  <si>
    <t>MCY2-106</t>
  </si>
  <si>
    <t>Yang, Linlin</t>
  </si>
  <si>
    <t>LBMC2109W81875D</t>
  </si>
  <si>
    <t>3LXRZ44</t>
  </si>
  <si>
    <t>MCY2-109</t>
  </si>
  <si>
    <t>Pace, Stanley</t>
  </si>
  <si>
    <t>LBQ6200BW46435D</t>
  </si>
  <si>
    <t>85BWG04</t>
  </si>
  <si>
    <t>Q</t>
  </si>
  <si>
    <t>Q6-200B</t>
  </si>
  <si>
    <t>Otrock, Zaher</t>
  </si>
  <si>
    <t>LBSP1188W78977D</t>
  </si>
  <si>
    <t>DGW5D14</t>
  </si>
  <si>
    <t>Southpoint</t>
  </si>
  <si>
    <t>SP1-188</t>
  </si>
  <si>
    <t>Setrakian, Sebouh</t>
  </si>
  <si>
    <t>LBT04023WJ0239D</t>
  </si>
  <si>
    <t>G51HWB4</t>
  </si>
  <si>
    <t>T</t>
  </si>
  <si>
    <t>Keller, Christian</t>
  </si>
  <si>
    <t>LBT0423AW67451D</t>
  </si>
  <si>
    <t>9HW5D14</t>
  </si>
  <si>
    <t>T4-230A</t>
  </si>
  <si>
    <t>Slack, Jonathan</t>
  </si>
  <si>
    <t>LBUNN235W89659D</t>
  </si>
  <si>
    <t>3M9YK84</t>
  </si>
  <si>
    <t>Union</t>
  </si>
  <si>
    <t>Brown, David</t>
  </si>
  <si>
    <t>LBWN2054W82978D</t>
  </si>
  <si>
    <t>FJXRZ44</t>
  </si>
  <si>
    <t>Weston</t>
  </si>
  <si>
    <t>WHN2-054</t>
  </si>
  <si>
    <t>Diacovo, Julia</t>
  </si>
  <si>
    <t>LBWN2200W82976D</t>
  </si>
  <si>
    <t>BJXRZ44</t>
  </si>
  <si>
    <t>WHN2-200</t>
  </si>
  <si>
    <t>Behdad, Amir</t>
  </si>
  <si>
    <t>LBWN2250W82972D</t>
  </si>
  <si>
    <t>CJXRZ44</t>
  </si>
  <si>
    <t>WHN2-250</t>
  </si>
  <si>
    <t>Sappenfield, Ryan L.</t>
  </si>
  <si>
    <t>LBWN2254WJ0838D</t>
  </si>
  <si>
    <t>54YGWB4</t>
  </si>
  <si>
    <t>WHN2-254</t>
  </si>
  <si>
    <t>Kwon, Dong hyang</t>
  </si>
  <si>
    <t>LBWN2254WJ0839D</t>
  </si>
  <si>
    <t>551HWB4</t>
  </si>
  <si>
    <t>Karachristos, Angela</t>
  </si>
  <si>
    <t>LBWN2255W82974D</t>
  </si>
  <si>
    <t>JMXRZ44</t>
  </si>
  <si>
    <t>WHN2-255</t>
  </si>
  <si>
    <t>Goez-Guttierrez, Elvia</t>
  </si>
  <si>
    <t>LBWN2256W82977D</t>
  </si>
  <si>
    <t>62J6Z44</t>
  </si>
  <si>
    <t>WHN2-256</t>
  </si>
  <si>
    <t>Yoon, Esther</t>
  </si>
  <si>
    <t>LBWN2257W82975D</t>
  </si>
  <si>
    <t>3NXRZ44</t>
  </si>
  <si>
    <t>WHN2-257</t>
  </si>
  <si>
    <t>Lyapichev, Kirill</t>
  </si>
  <si>
    <t>WHN2-259</t>
  </si>
  <si>
    <t>Bejarano, Pablo</t>
  </si>
  <si>
    <t>CPX1-276-1</t>
  </si>
  <si>
    <t>CPX1-271-1</t>
  </si>
  <si>
    <t>CPX1-272-1</t>
  </si>
  <si>
    <t>CPX1-273-1</t>
  </si>
  <si>
    <t>CPX1-274-1</t>
  </si>
  <si>
    <t>CPX1-275-1</t>
  </si>
  <si>
    <t>Buhtoiarova, Tatiana</t>
  </si>
  <si>
    <t>Malenie, Renuka</t>
  </si>
  <si>
    <t>UNN-G-233</t>
  </si>
  <si>
    <t>Stream Deck</t>
  </si>
  <si>
    <t>No</t>
  </si>
  <si>
    <t>Computer</t>
  </si>
  <si>
    <t>Device Type</t>
  </si>
  <si>
    <t>Primary Monitor</t>
  </si>
  <si>
    <t>2x Viewsonic 32" (4K)</t>
  </si>
  <si>
    <t>Keypad Input Device</t>
  </si>
  <si>
    <t>Additional Monitor(s)</t>
  </si>
  <si>
    <t>Dell 32 Inch (4K)</t>
  </si>
  <si>
    <t>Viewsonic 32 Inch (4K)</t>
  </si>
  <si>
    <t>MSI 32 Inch (4K)</t>
  </si>
  <si>
    <t>Dell / HP 24 Inch  (Non 4K)</t>
  </si>
  <si>
    <t>2x Dell / HP 24 Inch (Non 4K)</t>
  </si>
  <si>
    <t>Dell / HP 24 Inch (Non 4K)</t>
  </si>
  <si>
    <t>MSI 32 Inch (4K) &amp; Viewsonic 32 Inch (4K)</t>
  </si>
  <si>
    <t>Fish Signout</t>
  </si>
  <si>
    <t>Yang, Bin</t>
  </si>
  <si>
    <t>Total Monitors</t>
  </si>
  <si>
    <t>Primary User</t>
  </si>
  <si>
    <t>Count</t>
  </si>
  <si>
    <t>Total Computers</t>
  </si>
  <si>
    <t>Total Primary Monitors</t>
  </si>
  <si>
    <t>Total Additional Monitors</t>
  </si>
  <si>
    <t>Overall Total of Monitors</t>
  </si>
  <si>
    <t>Additional Mouse Totals</t>
  </si>
  <si>
    <t>Keypad Input Device Totals</t>
  </si>
  <si>
    <t>LBWN2259WJ3671D</t>
  </si>
  <si>
    <t>161HWB4</t>
  </si>
  <si>
    <t>Stream Desk Serial #</t>
  </si>
  <si>
    <t>3D Connect Mouse Serial #</t>
  </si>
  <si>
    <t>Primary Monitor Serial #</t>
  </si>
  <si>
    <t>PC Name</t>
  </si>
  <si>
    <t>Logitech MX Master Mouse 4</t>
  </si>
  <si>
    <t>Logitech MX Master Mouse Serial #</t>
  </si>
  <si>
    <t>PS5 Controller Serial #</t>
  </si>
  <si>
    <t>PS5 Controller</t>
  </si>
  <si>
    <t>WAH</t>
  </si>
  <si>
    <t>PC Serial #</t>
  </si>
  <si>
    <t>Logitech MX Master Mouse 4 Serial #</t>
  </si>
  <si>
    <t>Additional Pointer Device</t>
  </si>
  <si>
    <t>Meraki</t>
  </si>
  <si>
    <t>Meraki Model</t>
  </si>
  <si>
    <t>Meraki Serial #</t>
  </si>
  <si>
    <t>WFH Connection</t>
  </si>
  <si>
    <t>WFH Connection Totals</t>
  </si>
  <si>
    <t>Stream Deck (Yes/No)</t>
  </si>
  <si>
    <t>PS5 Controller (Yes/No)</t>
  </si>
  <si>
    <t>Meraki (Yes/No)</t>
  </si>
  <si>
    <t>Logitech MX Master Mouse 4 (Yes/No)</t>
  </si>
  <si>
    <t>3D Connect Mouse (Yes/No)</t>
  </si>
  <si>
    <t>Dell 24 Inch (Non 4K)</t>
  </si>
  <si>
    <t>EXAMPLE WFH USER</t>
  </si>
  <si>
    <t>Dell Pro Max Tower T2</t>
  </si>
  <si>
    <t>LBVOWFHSW#####D</t>
  </si>
  <si>
    <t>HGCWSD</t>
  </si>
  <si>
    <t>423413HJK124</t>
  </si>
  <si>
    <t>YES</t>
  </si>
  <si>
    <t>42323235521XK</t>
  </si>
  <si>
    <t>59324085-0344</t>
  </si>
  <si>
    <t>WEQLKN5123</t>
  </si>
  <si>
    <t>FEFFF121231441324</t>
  </si>
  <si>
    <t>43124321KL34JH4JK12</t>
  </si>
  <si>
    <t>MX67</t>
  </si>
  <si>
    <t>Dell Precision 3660 Tower</t>
  </si>
  <si>
    <t>Dell Precision 5860 Tower</t>
  </si>
  <si>
    <t>Ricotti, Claudia</t>
  </si>
  <si>
    <t>L2-236</t>
  </si>
  <si>
    <t>L1-405A</t>
  </si>
  <si>
    <t>L1-407 B</t>
  </si>
  <si>
    <t>L1-407 A</t>
  </si>
  <si>
    <t>L1-361</t>
  </si>
  <si>
    <t>L2-352</t>
  </si>
  <si>
    <t>L1-362</t>
  </si>
  <si>
    <t xml:space="preserve">L1-405 </t>
  </si>
  <si>
    <t>L4-192</t>
  </si>
  <si>
    <t>Ronen, Natali</t>
  </si>
  <si>
    <t>L4-191</t>
  </si>
  <si>
    <t>Update completed</t>
  </si>
  <si>
    <t>LBA06517W75006D</t>
  </si>
  <si>
    <t>1Y7B1K4</t>
  </si>
  <si>
    <t>A6-517</t>
  </si>
  <si>
    <t>Dell Pro Max Tower T2 FCT2250</t>
  </si>
  <si>
    <t>DD2A635801992</t>
  </si>
  <si>
    <t>H4324500734</t>
  </si>
  <si>
    <t>2610APZKA509</t>
  </si>
  <si>
    <t>A7FZA5421MD4BT</t>
  </si>
  <si>
    <t>BY7B1K4</t>
  </si>
  <si>
    <t>DD2A635801760</t>
  </si>
  <si>
    <t>2610APAKACK9</t>
  </si>
  <si>
    <t>A7FZA5421MDCVW</t>
  </si>
  <si>
    <t>7Y7B1K4</t>
  </si>
  <si>
    <t>DD2A635801374</t>
  </si>
  <si>
    <t>2610APHKA669</t>
  </si>
  <si>
    <t>A7FZA5421MDFPB</t>
  </si>
  <si>
    <t>LBFV1227W50439D</t>
  </si>
  <si>
    <t>DY7B1K4</t>
  </si>
  <si>
    <t>DD2A635802002</t>
  </si>
  <si>
    <t>24" Dell / HP Monitor</t>
  </si>
  <si>
    <t>2610APJKA5J9</t>
  </si>
  <si>
    <t>A7FZA5421MD91I</t>
  </si>
  <si>
    <t>9Y7B1K4</t>
  </si>
  <si>
    <t>DD2A635800385</t>
  </si>
  <si>
    <t>H4324500425</t>
  </si>
  <si>
    <t>2610AP8KAGC9</t>
  </si>
  <si>
    <t>A7FZA5421MG0GC</t>
  </si>
  <si>
    <t>LBL02236W78884D</t>
  </si>
  <si>
    <t>3D5B1K4</t>
  </si>
  <si>
    <t>Bennett, Ana</t>
  </si>
  <si>
    <t>DD2A635802001</t>
  </si>
  <si>
    <t>H4324500521</t>
  </si>
  <si>
    <t>A7FZA5421MDBXR</t>
  </si>
  <si>
    <t>3Y7B1K4</t>
  </si>
  <si>
    <t>DD2A635801634</t>
  </si>
  <si>
    <t>H4324500907</t>
  </si>
  <si>
    <t>2610APFKAA89</t>
  </si>
  <si>
    <t>A7FZA5421MDER6</t>
  </si>
  <si>
    <t>4Y7B1K4</t>
  </si>
  <si>
    <t>DD2A635801372</t>
  </si>
  <si>
    <t>Dell 32inch 4K</t>
  </si>
  <si>
    <t>H4324500355</t>
  </si>
  <si>
    <t>2610APUKA4D9</t>
  </si>
  <si>
    <t>A7FZA5421MG1EH</t>
  </si>
  <si>
    <t>4D5B1K4</t>
  </si>
  <si>
    <t>DD2A635801371</t>
  </si>
  <si>
    <t>2610APCKA6G9</t>
  </si>
  <si>
    <t>A7FZA5421MFWOT</t>
  </si>
  <si>
    <t>0922/2026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</si>
</sst>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25" fillId="33" borderId="0" xfId="0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6" fillId="3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38" borderId="0" xfId="0" applyFill="1" applyAlignment="1">
      <alignment horizontal="center" vertical="center"/>
    </xf>
    <xf numFmtId="14" fontId="0" fillId="36" borderId="10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14" fontId="0" fillId="39" borderId="10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EE553-286F-4D4A-BAA6-FF2BC878E96B}" name="Table1" displayName="Table1" ref="B1:V203" totalsRowShown="0" headerRowDxfId="63" dataDxfId="62">
  <autoFilter ref="B1:V203" xr:uid="{17EEE553-286F-4D4A-BAA6-FF2BC878E96B}"/>
  <sortState xmlns:xlrd2="http://schemas.microsoft.com/office/spreadsheetml/2017/richdata2" ref="B2:V151">
    <sortCondition ref="H2:H151"/>
  </sortState>
  <tableColumns count="21">
    <tableColumn id="1" xr3:uid="{49F6F4A1-7C6B-48FD-B9AF-B36E753A47BE}" name="PC Name" dataDxfId="61"/>
    <tableColumn id="2" xr3:uid="{D6C9EDA1-AF5D-4598-86CE-FAF968D3C22F}" name="PC Serial #" dataDxfId="60"/>
    <tableColumn id="3" xr3:uid="{44F0B323-6657-45E3-96F7-F0E8C7793549}" name="Area" dataDxfId="59"/>
    <tableColumn id="4" xr3:uid="{4C4BEEF9-8CA1-41F0-8BF7-7F09879D1DA2}" name="Building" dataDxfId="58"/>
    <tableColumn id="5" xr3:uid="{AAEF6CDA-14A3-4AA9-A91E-53EC4D2F8D4C}" name="Room" dataDxfId="57"/>
    <tableColumn id="6" xr3:uid="{2AFF38E8-C9D9-49C0-AC3E-33F6F9FDAD2B}" name="Model" dataDxfId="56"/>
    <tableColumn id="7" xr3:uid="{96055A1D-576C-46A0-9A1F-8658CC96A460}" name="Primary User" dataDxfId="55"/>
    <tableColumn id="8" xr3:uid="{49F13934-BD1D-48C5-AD00-A22CDD916D70}" name="Primary Monitor" dataDxfId="54"/>
    <tableColumn id="14" xr3:uid="{EED21670-B8C8-43C0-8DB1-FEAECD52BDBB}" name="Primary Monitor Serial #" dataDxfId="53"/>
    <tableColumn id="9" xr3:uid="{2611CA0D-4BD8-401B-95BD-81B8E749B02C}" name="Additional Monitor(s)" dataDxfId="52"/>
    <tableColumn id="10" xr3:uid="{3CF0DA7F-F9C4-4B4D-B346-9C32D33A30C4}" name="3D Connect Mouse (Yes/No)" dataDxfId="51"/>
    <tableColumn id="13" xr3:uid="{BAFF7EE8-82C3-48BD-9733-5F81AC03AA0F}" name="3D Connect Mouse Serial #" dataDxfId="50"/>
    <tableColumn id="15" xr3:uid="{9C1A1412-48D1-41DB-84BB-4E19DAD3952C}" name="Logitech MX Master Mouse 4 (Yes/No)" dataDxfId="49"/>
    <tableColumn id="16" xr3:uid="{15F78B4A-0731-41A8-A3A9-F49BD01615D1}" name="Logitech MX Master Mouse 4 Serial #" dataDxfId="48"/>
    <tableColumn id="11" xr3:uid="{E8B27099-E5FA-45A6-BEF0-F6DD7B91A95B}" name="Stream Deck (Yes/No)" dataDxfId="47"/>
    <tableColumn id="12" xr3:uid="{163555F4-4B4C-4B74-AF7A-C7FDB0D2CCC0}" name="Stream Desk Serial #" dataDxfId="46"/>
    <tableColumn id="17" xr3:uid="{7400245A-9B3C-464F-9D62-0BBD4D67BF6D}" name="PS5 Controller (Yes/No)" dataDxfId="45"/>
    <tableColumn id="18" xr3:uid="{1684CF35-2BC0-47B1-92B9-F5E66A0785D5}" name="PS5 Controller Serial #" dataDxfId="44"/>
    <tableColumn id="19" xr3:uid="{AA82DF61-F763-43A9-A937-4B4B887D8B08}" name="Meraki (Yes/No)" dataDxfId="43"/>
    <tableColumn id="20" xr3:uid="{F4A19E97-1155-452C-9745-C95CE0B3FF64}" name="Meraki Model" dataDxfId="42"/>
    <tableColumn id="21" xr3:uid="{9C367B8C-5D65-4E8D-A29C-5896979606D4}" name="Meraki Serial #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73883A-227F-4EA8-AB58-2A68FFE89787}" name="Table3" displayName="Table3" ref="Y1:AA30" totalsRowShown="0" headerRowDxfId="40" dataDxfId="39">
  <autoFilter ref="Y1:AA30" xr:uid="{3873883A-227F-4EA8-AB58-2A68FFE89787}"/>
  <tableColumns count="3">
    <tableColumn id="1" xr3:uid="{B215942A-7F23-4784-AABC-EDA1F9BFA7E9}" name="Device Type" dataDxfId="38"/>
    <tableColumn id="2" xr3:uid="{93324E69-D331-453A-9D69-350C028067EA}" name="Model" dataDxfId="37"/>
    <tableColumn id="4" xr3:uid="{28C12572-6618-4DD5-ADDF-2BB11A7B4502}" name="Count" dataDxfId="36">
      <calculatedColumnFormula>COUNTIF(Table1[Model],)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7E1CA4-7890-4A58-8238-1A5AB2062F88}" name="Table17" displayName="Table17" ref="A1:U201" totalsRowShown="0" headerRowDxfId="35" dataDxfId="34">
  <autoFilter ref="A1:U201" xr:uid="{17EEE553-286F-4D4A-BAA6-FF2BC878E96B}"/>
  <tableColumns count="21">
    <tableColumn id="1" xr3:uid="{DC3FFE12-A477-4BC7-8A56-ECFABB1648CC}" name="PC Name" dataDxfId="33"/>
    <tableColumn id="2" xr3:uid="{D58BF24B-9A3D-4661-8075-08941B61F498}" name="PC Serial #" dataDxfId="32"/>
    <tableColumn id="3" xr3:uid="{1262CC16-0AA9-4752-831D-D46587F9A9CB}" name="Area" dataDxfId="31"/>
    <tableColumn id="4" xr3:uid="{44D512BF-D80B-4562-84D7-A95AD67189F2}" name="Building" dataDxfId="30"/>
    <tableColumn id="5" xr3:uid="{61B81C77-74EE-45AF-81B2-E951904252D5}" name="Room" dataDxfId="29"/>
    <tableColumn id="6" xr3:uid="{5BA93A34-74EA-46F0-9E1B-0B64B7AA5F00}" name="Model" dataDxfId="28"/>
    <tableColumn id="7" xr3:uid="{2BF48EED-D8AE-42C3-8920-1D0B13A75BCE}" name="Primary User" dataDxfId="27"/>
    <tableColumn id="8" xr3:uid="{521E9B2B-9D71-4D6D-99F7-EBE5F8767510}" name="Primary Monitor" dataDxfId="26"/>
    <tableColumn id="14" xr3:uid="{F78F04B6-5703-4069-8F83-B0450FA573F1}" name="Primary Monitor Serial #" dataDxfId="25"/>
    <tableColumn id="9" xr3:uid="{C7E6F224-EBF9-413F-BAD2-DE92575A0D9E}" name="Additional Monitor(s)" dataDxfId="24"/>
    <tableColumn id="10" xr3:uid="{062B794D-7914-4CC7-B256-B78B7FE90073}" name="3D Connect Mouse (Yes/No)" dataDxfId="23"/>
    <tableColumn id="13" xr3:uid="{81BA83BF-1344-4EEB-AEF9-3B1F60F6DE95}" name="3D Connect Mouse Serial #" dataDxfId="22"/>
    <tableColumn id="15" xr3:uid="{EEB18C73-77BA-4590-859C-655277AEEF18}" name="Logitech MX Master Mouse 4 (Yes/No)" dataDxfId="21"/>
    <tableColumn id="16" xr3:uid="{0C57A286-BAA1-4272-8076-CBBDC8D49DBB}" name="Logitech MX Master Mouse 4 Serial #" dataDxfId="20"/>
    <tableColumn id="11" xr3:uid="{09E8350B-381D-41F0-98B9-410B83D63E9F}" name="Stream Deck (Yes/No)" dataDxfId="19"/>
    <tableColumn id="12" xr3:uid="{C0E051E6-665D-4EC5-899D-62D52FD5C0DC}" name="Stream Desk Serial #" dataDxfId="18"/>
    <tableColumn id="17" xr3:uid="{EC72FBD2-CA0A-4AFC-9BC4-88123E14BA79}" name="PS5 Controller (Yes/No)" dataDxfId="17"/>
    <tableColumn id="18" xr3:uid="{28613CB5-4F1F-494E-A26E-AE307A1A1764}" name="PS5 Controller Serial #" dataDxfId="16"/>
    <tableColumn id="20" xr3:uid="{AFB415A6-005E-460F-9571-9EE6579580B1}" name="Meraki (Yes/No)" dataDxfId="15"/>
    <tableColumn id="21" xr3:uid="{F3112CC3-45D6-459A-A472-5DD2D3122BB1}" name="Meraki Model" dataDxfId="14"/>
    <tableColumn id="22" xr3:uid="{55283E39-1D20-40AA-AB8F-F136ABCD5356}" name="Meraki Serial #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B4872C-6DE3-4B1D-8E50-134C4C5FCDA8}" name="Table38" displayName="Table38" ref="X1:Z24" totalsRowShown="0" headerRowDxfId="12" dataDxfId="11">
  <autoFilter ref="X1:Z24" xr:uid="{3873883A-227F-4EA8-AB58-2A68FFE89787}"/>
  <tableColumns count="3">
    <tableColumn id="1" xr3:uid="{31DBE63F-A4E9-4F28-B84E-1CE17D0754C3}" name="Device Type" dataDxfId="10"/>
    <tableColumn id="2" xr3:uid="{F146ED74-DBC0-41C4-AAE9-B2580F372D9C}" name="Model" dataDxfId="9"/>
    <tableColumn id="4" xr3:uid="{3BBDEC16-C257-47CC-8ED1-589B8F8CAA03}" name="Count" dataDxfId="8">
      <calculatedColumnFormula>COUNTIF(Table17[Model],)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72BC78-1A2C-4033-9F70-2C82B256CEDB}" name="Table5" displayName="Table5" ref="A1:G101" totalsRowShown="0" headerRowDxfId="7" dataDxfId="6">
  <autoFilter ref="A1:G101" xr:uid="{2F72BC78-1A2C-4033-9F70-2C82B256CEDB}"/>
  <tableColumns count="7">
    <tableColumn id="1" xr3:uid="{BD12CF2D-8DC0-4276-ABBE-2BE74F1CE859}" name="PC Serial #" dataDxfId="5"/>
    <tableColumn id="2" xr3:uid="{A5D99356-ADFA-46A1-A170-FD75378E2CD2}" name="Primary Monitor Serial #" dataDxfId="4"/>
    <tableColumn id="3" xr3:uid="{D1D49704-45E9-4ABD-99FC-79460FD4B07D}" name="3D Connect Mouse Serial #" dataDxfId="3"/>
    <tableColumn id="4" xr3:uid="{6276DFCB-0211-485B-8CD6-8DD814C27988}" name="Logitech MX Master Mouse Serial #" dataDxfId="2"/>
    <tableColumn id="5" xr3:uid="{51C6475E-3162-40BA-967D-F46671C71AA7}" name="Stream Desk Serial #" dataDxfId="1"/>
    <tableColumn id="6" xr3:uid="{2AE65A65-C911-4141-9774-DC07447A32DE}" name="PS5 Controller Serial #"/>
    <tableColumn id="7" xr3:uid="{57E07FF3-556E-4B7B-AB67-BE0E733CFC37}" name="Meraki Serial #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8BE0-6E47-4708-8588-B7DD79F141AE}">
  <dimension ref="A1:AB151"/>
  <sheetViews>
    <sheetView tabSelected="1" zoomScaleNormal="100" workbookViewId="0">
      <pane ySplit="1" topLeftCell="A18" activePane="bottomLeft" state="frozen"/>
      <selection pane="bottomLeft" activeCell="C106" sqref="C106"/>
    </sheetView>
  </sheetViews>
  <sheetFormatPr defaultColWidth="8.81640625" defaultRowHeight="14.5" x14ac:dyDescent="0.35"/>
  <cols>
    <col min="1" max="1" width="23" style="2" customWidth="1"/>
    <col min="2" max="2" width="26.453125" style="2" bestFit="1" customWidth="1"/>
    <col min="3" max="3" width="28.1796875" style="2" bestFit="1" customWidth="1"/>
    <col min="4" max="4" width="13.81640625" style="2" customWidth="1"/>
    <col min="5" max="5" width="16" style="2" bestFit="1" customWidth="1"/>
    <col min="6" max="6" width="13.7265625" style="2" customWidth="1"/>
    <col min="7" max="7" width="29.453125" style="2" customWidth="1"/>
    <col min="8" max="9" width="25.7265625" style="2" bestFit="1" customWidth="1"/>
    <col min="10" max="10" width="35.81640625" style="2" bestFit="1" customWidth="1"/>
    <col min="11" max="11" width="37.54296875" style="2" bestFit="1" customWidth="1"/>
    <col min="12" max="12" width="41.54296875" style="2" bestFit="1" customWidth="1"/>
    <col min="13" max="13" width="39.81640625" style="2" bestFit="1" customWidth="1"/>
    <col min="14" max="14" width="53.7265625" style="2" bestFit="1" customWidth="1"/>
    <col min="15" max="15" width="52" style="2" bestFit="1" customWidth="1"/>
    <col min="16" max="16" width="33.7265625" style="2" bestFit="1" customWidth="1"/>
    <col min="17" max="17" width="32" style="2" bestFit="1" customWidth="1"/>
    <col min="18" max="18" width="36.1796875" style="2" bestFit="1" customWidth="1"/>
    <col min="19" max="19" width="34.26953125" style="2" bestFit="1" customWidth="1"/>
    <col min="20" max="20" width="25.81640625" style="2" hidden="1" customWidth="1"/>
    <col min="21" max="22" width="34.26953125" style="2" hidden="1" customWidth="1"/>
    <col min="23" max="23" width="21.81640625" style="2" customWidth="1"/>
    <col min="24" max="24" width="8.81640625" style="2"/>
    <col min="25" max="25" width="24.26953125" style="2" bestFit="1" customWidth="1"/>
    <col min="26" max="26" width="27.7265625" style="2" bestFit="1" customWidth="1"/>
    <col min="27" max="27" width="15.453125" style="2" bestFit="1" customWidth="1"/>
    <col min="28" max="16384" width="8.81640625" style="2"/>
  </cols>
  <sheetData>
    <row r="1" spans="1:28" s="1" customFormat="1" ht="21" x14ac:dyDescent="0.35">
      <c r="A1" s="1" t="s">
        <v>657</v>
      </c>
      <c r="B1" s="5" t="s">
        <v>611</v>
      </c>
      <c r="C1" s="5" t="s">
        <v>617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598</v>
      </c>
      <c r="I1" s="5" t="s">
        <v>584</v>
      </c>
      <c r="J1" s="5" t="s">
        <v>610</v>
      </c>
      <c r="K1" s="5" t="s">
        <v>587</v>
      </c>
      <c r="L1" s="5" t="s">
        <v>629</v>
      </c>
      <c r="M1" s="5" t="s">
        <v>609</v>
      </c>
      <c r="N1" s="5" t="s">
        <v>628</v>
      </c>
      <c r="O1" s="5" t="s">
        <v>618</v>
      </c>
      <c r="P1" s="5" t="s">
        <v>625</v>
      </c>
      <c r="Q1" s="5" t="s">
        <v>608</v>
      </c>
      <c r="R1" s="5" t="s">
        <v>626</v>
      </c>
      <c r="S1" s="5" t="s">
        <v>614</v>
      </c>
      <c r="T1" s="5" t="s">
        <v>627</v>
      </c>
      <c r="U1" s="5" t="s">
        <v>621</v>
      </c>
      <c r="V1" s="5" t="s">
        <v>622</v>
      </c>
      <c r="W1" s="5"/>
      <c r="X1" s="5"/>
      <c r="Y1" s="6" t="s">
        <v>583</v>
      </c>
      <c r="Z1" s="6" t="s">
        <v>3</v>
      </c>
      <c r="AA1" s="6" t="s">
        <v>599</v>
      </c>
    </row>
    <row r="2" spans="1:28" ht="16" x14ac:dyDescent="0.35">
      <c r="A2" s="21"/>
      <c r="B2" s="2" t="s">
        <v>473</v>
      </c>
      <c r="C2" s="2" t="s">
        <v>474</v>
      </c>
      <c r="D2" s="2" t="s">
        <v>6</v>
      </c>
      <c r="E2" s="2" t="s">
        <v>466</v>
      </c>
      <c r="F2" s="2" t="s">
        <v>475</v>
      </c>
      <c r="G2" s="2" t="s">
        <v>644</v>
      </c>
      <c r="H2" s="2" t="s">
        <v>476</v>
      </c>
      <c r="I2" s="2" t="s">
        <v>589</v>
      </c>
      <c r="K2" s="2" t="s">
        <v>593</v>
      </c>
      <c r="L2" s="2" t="s">
        <v>581</v>
      </c>
      <c r="N2" s="2" t="s">
        <v>581</v>
      </c>
      <c r="P2" s="2" t="s">
        <v>581</v>
      </c>
      <c r="R2" s="2" t="s">
        <v>581</v>
      </c>
      <c r="Y2" s="3" t="s">
        <v>582</v>
      </c>
      <c r="Z2" s="2" t="s">
        <v>643</v>
      </c>
      <c r="AA2" s="2">
        <f>COUNTIF(Table1[Model],"Dell Precision 3660 Tower")</f>
        <v>5</v>
      </c>
      <c r="AB2" s="7"/>
    </row>
    <row r="3" spans="1:28" ht="16" x14ac:dyDescent="0.35">
      <c r="A3" s="22">
        <v>46261</v>
      </c>
      <c r="B3" s="12" t="s">
        <v>425</v>
      </c>
      <c r="C3" s="12" t="s">
        <v>426</v>
      </c>
      <c r="D3" s="12" t="s">
        <v>6</v>
      </c>
      <c r="E3" s="12" t="s">
        <v>124</v>
      </c>
      <c r="F3" s="12" t="s">
        <v>427</v>
      </c>
      <c r="G3" s="12" t="s">
        <v>643</v>
      </c>
      <c r="H3" s="16" t="s">
        <v>428</v>
      </c>
      <c r="I3" s="12" t="s">
        <v>589</v>
      </c>
      <c r="J3" s="12"/>
      <c r="K3" s="12" t="s">
        <v>593</v>
      </c>
      <c r="L3" s="2" t="s">
        <v>60</v>
      </c>
      <c r="N3" s="2" t="s">
        <v>581</v>
      </c>
      <c r="P3" s="2" t="s">
        <v>581</v>
      </c>
      <c r="R3" s="2" t="s">
        <v>581</v>
      </c>
      <c r="Y3" s="4"/>
      <c r="Z3" s="2" t="s">
        <v>644</v>
      </c>
      <c r="AA3" s="2">
        <f>COUNTIF(Table1[Model],"Dell Precision 5860 Tower")</f>
        <v>132</v>
      </c>
      <c r="AB3" s="7"/>
    </row>
    <row r="4" spans="1:28" ht="16" x14ac:dyDescent="0.35">
      <c r="B4" s="2" t="s">
        <v>413</v>
      </c>
      <c r="C4" s="2" t="s">
        <v>414</v>
      </c>
      <c r="D4" s="2" t="s">
        <v>6</v>
      </c>
      <c r="E4" s="2" t="s">
        <v>124</v>
      </c>
      <c r="F4" s="2" t="s">
        <v>415</v>
      </c>
      <c r="G4" s="2" t="s">
        <v>644</v>
      </c>
      <c r="H4" s="2" t="s">
        <v>416</v>
      </c>
      <c r="I4" s="2" t="s">
        <v>589</v>
      </c>
      <c r="K4" s="2" t="s">
        <v>593</v>
      </c>
      <c r="L4" s="2" t="s">
        <v>581</v>
      </c>
      <c r="N4" s="2" t="s">
        <v>581</v>
      </c>
      <c r="P4" s="2" t="s">
        <v>581</v>
      </c>
      <c r="R4" s="2" t="s">
        <v>581</v>
      </c>
      <c r="Y4" s="3"/>
      <c r="Z4" s="2" t="s">
        <v>632</v>
      </c>
      <c r="AA4" s="2">
        <f>COUNTIF(Table1[Model],"Dell Pro Max Tower T2")</f>
        <v>3</v>
      </c>
      <c r="AB4" s="7"/>
    </row>
    <row r="5" spans="1:28" ht="16" x14ac:dyDescent="0.35">
      <c r="A5" s="22">
        <v>46260</v>
      </c>
      <c r="B5" s="12" t="s">
        <v>366</v>
      </c>
      <c r="C5" s="12" t="s">
        <v>367</v>
      </c>
      <c r="D5" s="12" t="s">
        <v>6</v>
      </c>
      <c r="E5" s="12" t="s">
        <v>124</v>
      </c>
      <c r="F5" s="12" t="s">
        <v>364</v>
      </c>
      <c r="G5" s="12" t="s">
        <v>643</v>
      </c>
      <c r="H5" s="16" t="s">
        <v>368</v>
      </c>
      <c r="I5" s="12" t="s">
        <v>589</v>
      </c>
      <c r="J5" s="12"/>
      <c r="K5" s="12" t="s">
        <v>593</v>
      </c>
      <c r="L5" s="2" t="s">
        <v>60</v>
      </c>
      <c r="N5" s="2" t="s">
        <v>581</v>
      </c>
      <c r="P5" s="2" t="s">
        <v>581</v>
      </c>
      <c r="R5" s="2" t="s">
        <v>581</v>
      </c>
      <c r="Z5" s="3" t="s">
        <v>600</v>
      </c>
      <c r="AA5" s="8">
        <f>SUBTOTAL(109,AA2:AA4)</f>
        <v>140</v>
      </c>
      <c r="AB5" s="7"/>
    </row>
    <row r="6" spans="1:28" ht="16" x14ac:dyDescent="0.35">
      <c r="A6" s="23"/>
      <c r="B6" s="2" t="s">
        <v>80</v>
      </c>
      <c r="C6" s="2" t="s">
        <v>81</v>
      </c>
      <c r="D6" s="2" t="s">
        <v>6</v>
      </c>
      <c r="E6" s="2" t="s">
        <v>71</v>
      </c>
      <c r="F6" s="2" t="s">
        <v>653</v>
      </c>
      <c r="G6" s="2" t="s">
        <v>644</v>
      </c>
      <c r="H6" s="2" t="s">
        <v>82</v>
      </c>
      <c r="I6" s="2" t="s">
        <v>588</v>
      </c>
      <c r="K6" s="2" t="s">
        <v>593</v>
      </c>
      <c r="L6" s="2" t="s">
        <v>581</v>
      </c>
      <c r="N6" s="2" t="s">
        <v>581</v>
      </c>
      <c r="P6" s="2" t="s">
        <v>581</v>
      </c>
      <c r="R6" s="2" t="s">
        <v>581</v>
      </c>
      <c r="Y6" s="3"/>
      <c r="AB6" s="7"/>
    </row>
    <row r="7" spans="1:28" ht="16" x14ac:dyDescent="0.35">
      <c r="B7" s="2" t="s">
        <v>187</v>
      </c>
      <c r="C7" s="2" t="s">
        <v>188</v>
      </c>
      <c r="D7" s="2" t="s">
        <v>6</v>
      </c>
      <c r="E7" s="2" t="s">
        <v>124</v>
      </c>
      <c r="F7" s="2" t="s">
        <v>189</v>
      </c>
      <c r="G7" s="2" t="s">
        <v>644</v>
      </c>
      <c r="H7" s="2" t="s">
        <v>190</v>
      </c>
      <c r="I7" s="2" t="s">
        <v>588</v>
      </c>
      <c r="K7" s="2" t="s">
        <v>593</v>
      </c>
      <c r="L7" s="2" t="s">
        <v>581</v>
      </c>
      <c r="N7" s="2" t="s">
        <v>581</v>
      </c>
      <c r="P7" s="2" t="s">
        <v>581</v>
      </c>
      <c r="R7" s="2" t="s">
        <v>581</v>
      </c>
      <c r="Y7" s="3" t="s">
        <v>584</v>
      </c>
      <c r="Z7" s="2" t="s">
        <v>588</v>
      </c>
      <c r="AA7" s="2">
        <f>COUNTIF(Table1[Primary Monitor],"Dell 32 Inch (4K)")</f>
        <v>63</v>
      </c>
      <c r="AB7" s="7"/>
    </row>
    <row r="8" spans="1:28" ht="16" x14ac:dyDescent="0.35">
      <c r="A8" s="23">
        <v>46245</v>
      </c>
      <c r="B8" s="2" t="s">
        <v>542</v>
      </c>
      <c r="C8" s="2" t="s">
        <v>543</v>
      </c>
      <c r="D8" s="2" t="s">
        <v>21</v>
      </c>
      <c r="E8" s="2" t="s">
        <v>539</v>
      </c>
      <c r="F8" s="2" t="s">
        <v>544</v>
      </c>
      <c r="G8" s="2" t="s">
        <v>644</v>
      </c>
      <c r="H8" s="2" t="s">
        <v>545</v>
      </c>
      <c r="I8" s="2" t="s">
        <v>588</v>
      </c>
      <c r="K8" s="2" t="s">
        <v>589</v>
      </c>
      <c r="L8" s="2" t="s">
        <v>60</v>
      </c>
      <c r="N8" s="2" t="s">
        <v>581</v>
      </c>
      <c r="P8" s="2" t="s">
        <v>581</v>
      </c>
      <c r="R8" s="2" t="s">
        <v>581</v>
      </c>
      <c r="Y8" s="3"/>
      <c r="Z8" s="2" t="s">
        <v>589</v>
      </c>
      <c r="AA8" s="2">
        <f>COUNTIF(Table1[Primary Monitor],"Viewsonic 32 Inch (4K)")</f>
        <v>71</v>
      </c>
      <c r="AB8" s="7"/>
    </row>
    <row r="9" spans="1:28" ht="16" x14ac:dyDescent="0.35">
      <c r="B9" s="2" t="s">
        <v>606</v>
      </c>
      <c r="C9" s="2" t="s">
        <v>607</v>
      </c>
      <c r="D9" s="2" t="s">
        <v>21</v>
      </c>
      <c r="E9" s="2" t="s">
        <v>539</v>
      </c>
      <c r="F9" s="2" t="s">
        <v>569</v>
      </c>
      <c r="G9" s="2" t="s">
        <v>644</v>
      </c>
      <c r="H9" s="2" t="s">
        <v>570</v>
      </c>
      <c r="I9" s="2" t="s">
        <v>588</v>
      </c>
      <c r="K9" s="2" t="s">
        <v>593</v>
      </c>
      <c r="L9" s="2" t="s">
        <v>60</v>
      </c>
      <c r="N9" s="2" t="s">
        <v>581</v>
      </c>
      <c r="P9" s="2" t="s">
        <v>581</v>
      </c>
      <c r="R9" s="2" t="s">
        <v>581</v>
      </c>
      <c r="Y9" s="3"/>
      <c r="Z9" s="2" t="s">
        <v>590</v>
      </c>
      <c r="AA9" s="2">
        <f>COUNTIF(Table1[Primary Monitor],"MSI 32 Inch (4K)")</f>
        <v>11</v>
      </c>
      <c r="AB9" s="7"/>
    </row>
    <row r="10" spans="1:28" ht="16" x14ac:dyDescent="0.35">
      <c r="A10" s="22">
        <v>46259</v>
      </c>
      <c r="B10" s="12" t="s">
        <v>335</v>
      </c>
      <c r="C10" s="12" t="s">
        <v>336</v>
      </c>
      <c r="D10" s="12" t="s">
        <v>6</v>
      </c>
      <c r="E10" s="12" t="s">
        <v>124</v>
      </c>
      <c r="F10" s="12" t="s">
        <v>337</v>
      </c>
      <c r="G10" s="12" t="s">
        <v>644</v>
      </c>
      <c r="H10" s="16" t="s">
        <v>338</v>
      </c>
      <c r="I10" s="12" t="s">
        <v>589</v>
      </c>
      <c r="J10" s="12"/>
      <c r="K10" s="12" t="s">
        <v>593</v>
      </c>
      <c r="L10" s="2" t="s">
        <v>60</v>
      </c>
      <c r="N10" s="2" t="s">
        <v>581</v>
      </c>
      <c r="P10" s="2" t="s">
        <v>581</v>
      </c>
      <c r="R10" s="2" t="s">
        <v>581</v>
      </c>
      <c r="Y10" s="3"/>
      <c r="Z10" s="2" t="s">
        <v>593</v>
      </c>
      <c r="AA10" s="2">
        <f>COUNTIF(Table1[Primary Monitor],"Dell / HP 24 Inch (Non 4K)")</f>
        <v>4</v>
      </c>
      <c r="AB10" s="7"/>
    </row>
    <row r="11" spans="1:28" ht="16" x14ac:dyDescent="0.35">
      <c r="A11" s="22">
        <v>46260</v>
      </c>
      <c r="B11" s="14" t="s">
        <v>685</v>
      </c>
      <c r="C11" s="14" t="s">
        <v>686</v>
      </c>
      <c r="D11" s="14" t="s">
        <v>6</v>
      </c>
      <c r="E11" s="14" t="s">
        <v>124</v>
      </c>
      <c r="F11" s="14" t="s">
        <v>646</v>
      </c>
      <c r="G11" s="14" t="s">
        <v>661</v>
      </c>
      <c r="H11" s="15" t="s">
        <v>687</v>
      </c>
      <c r="I11" s="14" t="s">
        <v>590</v>
      </c>
      <c r="J11" s="14" t="s">
        <v>688</v>
      </c>
      <c r="K11" s="14"/>
      <c r="L11" s="2" t="s">
        <v>60</v>
      </c>
      <c r="M11" s="2" t="s">
        <v>689</v>
      </c>
      <c r="N11" s="2" t="s">
        <v>60</v>
      </c>
      <c r="O11" s="2" t="s">
        <v>664</v>
      </c>
      <c r="P11" s="2" t="s">
        <v>60</v>
      </c>
      <c r="Q11" s="2" t="s">
        <v>690</v>
      </c>
      <c r="R11" s="2" t="s">
        <v>581</v>
      </c>
      <c r="Y11" s="3"/>
      <c r="Z11" s="3" t="s">
        <v>601</v>
      </c>
      <c r="AA11" s="8">
        <f>SUM(AA7:AA10)</f>
        <v>149</v>
      </c>
      <c r="AB11" s="7"/>
    </row>
    <row r="12" spans="1:28" ht="16" x14ac:dyDescent="0.35">
      <c r="A12" s="23">
        <v>46267</v>
      </c>
      <c r="B12" s="17" t="s">
        <v>15</v>
      </c>
      <c r="C12" s="17" t="s">
        <v>16</v>
      </c>
      <c r="D12" s="17" t="s">
        <v>6</v>
      </c>
      <c r="E12" s="17" t="s">
        <v>7</v>
      </c>
      <c r="F12" s="17" t="s">
        <v>17</v>
      </c>
      <c r="G12" s="17" t="s">
        <v>644</v>
      </c>
      <c r="H12" s="18" t="s">
        <v>18</v>
      </c>
      <c r="I12" s="17" t="s">
        <v>588</v>
      </c>
      <c r="J12" s="17"/>
      <c r="K12" s="17" t="s">
        <v>593</v>
      </c>
      <c r="L12" s="2" t="s">
        <v>581</v>
      </c>
      <c r="N12" s="2" t="s">
        <v>581</v>
      </c>
      <c r="P12" s="2" t="s">
        <v>581</v>
      </c>
      <c r="R12" s="2" t="s">
        <v>581</v>
      </c>
      <c r="Y12" s="3"/>
      <c r="AB12" s="7"/>
    </row>
    <row r="13" spans="1:28" ht="16" x14ac:dyDescent="0.35">
      <c r="A13" s="22">
        <v>46247</v>
      </c>
      <c r="B13" s="12" t="s">
        <v>127</v>
      </c>
      <c r="C13" s="12" t="s">
        <v>696</v>
      </c>
      <c r="D13" s="12" t="s">
        <v>6</v>
      </c>
      <c r="E13" s="12" t="s">
        <v>124</v>
      </c>
      <c r="F13" s="12" t="s">
        <v>128</v>
      </c>
      <c r="G13" s="12" t="s">
        <v>661</v>
      </c>
      <c r="H13" s="16" t="s">
        <v>129</v>
      </c>
      <c r="I13" s="12" t="s">
        <v>590</v>
      </c>
      <c r="J13" s="12" t="s">
        <v>697</v>
      </c>
      <c r="K13" s="12" t="s">
        <v>698</v>
      </c>
      <c r="L13" s="2" t="s">
        <v>60</v>
      </c>
      <c r="M13" s="2" t="s">
        <v>699</v>
      </c>
      <c r="N13" s="2" t="s">
        <v>60</v>
      </c>
      <c r="O13" s="2" t="s">
        <v>700</v>
      </c>
      <c r="P13" s="2" t="s">
        <v>60</v>
      </c>
      <c r="Q13" s="2" t="s">
        <v>701</v>
      </c>
      <c r="R13" s="2" t="s">
        <v>581</v>
      </c>
      <c r="Y13" s="3" t="s">
        <v>587</v>
      </c>
      <c r="Z13" s="2" t="s">
        <v>589</v>
      </c>
      <c r="AA13" s="2">
        <f>COUNTIF(Table1[Additional Monitor(s)],"Viewsonic 32 Inch (4K)")+3</f>
        <v>13</v>
      </c>
      <c r="AB13" s="7"/>
    </row>
    <row r="14" spans="1:28" ht="16" x14ac:dyDescent="0.35">
      <c r="B14" s="2" t="s">
        <v>255</v>
      </c>
      <c r="C14" s="2" t="s">
        <v>256</v>
      </c>
      <c r="D14" s="2" t="s">
        <v>6</v>
      </c>
      <c r="E14" s="2" t="s">
        <v>124</v>
      </c>
      <c r="F14" s="2" t="s">
        <v>257</v>
      </c>
      <c r="G14" s="2" t="s">
        <v>644</v>
      </c>
      <c r="H14" s="2" t="s">
        <v>258</v>
      </c>
      <c r="I14" s="2" t="s">
        <v>588</v>
      </c>
      <c r="K14" s="2" t="s">
        <v>593</v>
      </c>
      <c r="L14" s="2" t="s">
        <v>581</v>
      </c>
      <c r="N14" s="2" t="s">
        <v>581</v>
      </c>
      <c r="P14" s="2" t="s">
        <v>581</v>
      </c>
      <c r="R14" s="2" t="s">
        <v>581</v>
      </c>
      <c r="Y14" s="3"/>
      <c r="Z14" s="2" t="s">
        <v>590</v>
      </c>
      <c r="AA14" s="2">
        <f>COUNTIF(Table1[Additional Monitor(s)],"MSI 32 Inch (4K)")+1</f>
        <v>4</v>
      </c>
      <c r="AB14" s="7"/>
    </row>
    <row r="15" spans="1:28" ht="16" x14ac:dyDescent="0.35">
      <c r="B15" s="2" t="s">
        <v>272</v>
      </c>
      <c r="C15" s="2" t="s">
        <v>273</v>
      </c>
      <c r="D15" s="2" t="s">
        <v>6</v>
      </c>
      <c r="E15" s="2" t="s">
        <v>124</v>
      </c>
      <c r="F15" s="2" t="s">
        <v>274</v>
      </c>
      <c r="G15" s="2" t="s">
        <v>644</v>
      </c>
      <c r="H15" s="2" t="s">
        <v>275</v>
      </c>
      <c r="I15" s="2" t="s">
        <v>589</v>
      </c>
      <c r="K15" s="2" t="s">
        <v>593</v>
      </c>
      <c r="L15" s="2" t="s">
        <v>581</v>
      </c>
      <c r="N15" s="2" t="s">
        <v>581</v>
      </c>
      <c r="P15" s="2" t="s">
        <v>581</v>
      </c>
      <c r="R15" s="2" t="s">
        <v>581</v>
      </c>
      <c r="Y15" s="3"/>
      <c r="Z15" s="2" t="s">
        <v>591</v>
      </c>
      <c r="AA15" s="2">
        <f>COUNTIF(Table1[Additional Monitor(s)],"Dell / HP 24 Inch (Non 4K)")+2</f>
        <v>126</v>
      </c>
      <c r="AB15" s="7"/>
    </row>
    <row r="16" spans="1:28" ht="16" x14ac:dyDescent="0.35">
      <c r="B16" s="2" t="s">
        <v>533</v>
      </c>
      <c r="C16" s="2" t="s">
        <v>534</v>
      </c>
      <c r="D16" s="2" t="s">
        <v>21</v>
      </c>
      <c r="E16" s="2" t="s">
        <v>535</v>
      </c>
      <c r="F16" s="2" t="s">
        <v>579</v>
      </c>
      <c r="G16" s="2" t="s">
        <v>644</v>
      </c>
      <c r="H16" s="2" t="s">
        <v>536</v>
      </c>
      <c r="I16" s="2" t="s">
        <v>588</v>
      </c>
      <c r="K16" s="2" t="s">
        <v>593</v>
      </c>
      <c r="L16" s="2" t="s">
        <v>581</v>
      </c>
      <c r="N16" s="2" t="s">
        <v>581</v>
      </c>
      <c r="P16" s="2" t="s">
        <v>581</v>
      </c>
      <c r="R16" s="2" t="s">
        <v>581</v>
      </c>
      <c r="Y16" s="3"/>
      <c r="Z16" s="3" t="s">
        <v>602</v>
      </c>
      <c r="AA16" s="8">
        <f>SUM(AA13:AA15)</f>
        <v>143</v>
      </c>
      <c r="AB16" s="7"/>
    </row>
    <row r="17" spans="1:28" ht="16" x14ac:dyDescent="0.35">
      <c r="A17" s="25">
        <v>46287</v>
      </c>
      <c r="B17" s="17" t="s">
        <v>24</v>
      </c>
      <c r="C17" s="17" t="s">
        <v>25</v>
      </c>
      <c r="D17" s="17" t="s">
        <v>21</v>
      </c>
      <c r="E17" s="17" t="s">
        <v>22</v>
      </c>
      <c r="F17" s="17" t="s">
        <v>571</v>
      </c>
      <c r="G17" s="17" t="s">
        <v>644</v>
      </c>
      <c r="H17" s="18" t="s">
        <v>577</v>
      </c>
      <c r="I17" s="17" t="s">
        <v>588</v>
      </c>
      <c r="J17" s="17"/>
      <c r="K17" s="17" t="s">
        <v>593</v>
      </c>
      <c r="L17" s="2" t="s">
        <v>60</v>
      </c>
      <c r="N17" s="2" t="s">
        <v>581</v>
      </c>
      <c r="P17" s="2" t="s">
        <v>581</v>
      </c>
      <c r="R17" s="2" t="s">
        <v>581</v>
      </c>
      <c r="Y17" s="3"/>
      <c r="AB17" s="7"/>
    </row>
    <row r="18" spans="1:28" ht="16" x14ac:dyDescent="0.35">
      <c r="B18" s="2" t="s">
        <v>445</v>
      </c>
      <c r="C18" s="2" t="s">
        <v>446</v>
      </c>
      <c r="D18" s="2" t="s">
        <v>6</v>
      </c>
      <c r="E18" s="2" t="s">
        <v>124</v>
      </c>
      <c r="F18" s="2" t="s">
        <v>447</v>
      </c>
      <c r="G18" s="2" t="s">
        <v>644</v>
      </c>
      <c r="H18" s="2" t="s">
        <v>448</v>
      </c>
      <c r="I18" s="2" t="s">
        <v>589</v>
      </c>
      <c r="K18" s="2" t="s">
        <v>593</v>
      </c>
      <c r="L18" s="2" t="s">
        <v>581</v>
      </c>
      <c r="N18" s="2" t="s">
        <v>581</v>
      </c>
      <c r="P18" s="2" t="s">
        <v>581</v>
      </c>
      <c r="R18" s="2" t="s">
        <v>581</v>
      </c>
      <c r="Y18" s="3" t="s">
        <v>597</v>
      </c>
      <c r="Z18" s="2" t="s">
        <v>588</v>
      </c>
      <c r="AA18" s="2">
        <f>SUM(AA7)</f>
        <v>63</v>
      </c>
      <c r="AB18" s="7"/>
    </row>
    <row r="19" spans="1:28" ht="16" x14ac:dyDescent="0.35">
      <c r="B19" s="2" t="s">
        <v>174</v>
      </c>
      <c r="C19" s="2" t="s">
        <v>175</v>
      </c>
      <c r="D19" s="2" t="s">
        <v>6</v>
      </c>
      <c r="E19" s="2" t="s">
        <v>124</v>
      </c>
      <c r="F19" s="2" t="s">
        <v>176</v>
      </c>
      <c r="G19" s="2" t="s">
        <v>644</v>
      </c>
      <c r="H19" s="2" t="s">
        <v>177</v>
      </c>
      <c r="I19" s="2" t="s">
        <v>593</v>
      </c>
      <c r="K19" s="2" t="s">
        <v>593</v>
      </c>
      <c r="L19" s="2" t="s">
        <v>60</v>
      </c>
      <c r="N19" s="2" t="s">
        <v>581</v>
      </c>
      <c r="P19" s="2" t="s">
        <v>581</v>
      </c>
      <c r="R19" s="2" t="s">
        <v>581</v>
      </c>
      <c r="Y19" s="3"/>
      <c r="Z19" s="2" t="s">
        <v>589</v>
      </c>
      <c r="AA19" s="2">
        <f>SUM(AA8,AA13)</f>
        <v>84</v>
      </c>
      <c r="AB19" s="7"/>
    </row>
    <row r="20" spans="1:28" ht="16" x14ac:dyDescent="0.35">
      <c r="B20" s="2" t="s">
        <v>178</v>
      </c>
      <c r="C20" s="2" t="s">
        <v>179</v>
      </c>
      <c r="D20" s="2" t="s">
        <v>6</v>
      </c>
      <c r="E20" s="2" t="s">
        <v>124</v>
      </c>
      <c r="F20" s="2" t="s">
        <v>180</v>
      </c>
      <c r="G20" s="2" t="s">
        <v>644</v>
      </c>
      <c r="H20" s="2" t="s">
        <v>181</v>
      </c>
      <c r="I20" s="2" t="s">
        <v>593</v>
      </c>
      <c r="K20" s="2" t="s">
        <v>182</v>
      </c>
      <c r="L20" s="2" t="s">
        <v>581</v>
      </c>
      <c r="N20" s="2" t="s">
        <v>581</v>
      </c>
      <c r="P20" s="2" t="s">
        <v>581</v>
      </c>
      <c r="R20" s="2" t="s">
        <v>581</v>
      </c>
      <c r="Y20" s="3"/>
      <c r="Z20" s="2" t="s">
        <v>590</v>
      </c>
      <c r="AA20" s="2">
        <f>SUM(AA9,AA14)</f>
        <v>15</v>
      </c>
      <c r="AB20" s="7"/>
    </row>
    <row r="21" spans="1:28" ht="16" x14ac:dyDescent="0.35">
      <c r="B21" s="2" t="s">
        <v>215</v>
      </c>
      <c r="C21" s="2" t="s">
        <v>216</v>
      </c>
      <c r="D21" s="2" t="s">
        <v>6</v>
      </c>
      <c r="E21" s="2" t="s">
        <v>124</v>
      </c>
      <c r="F21" s="2" t="s">
        <v>217</v>
      </c>
      <c r="G21" s="2" t="s">
        <v>644</v>
      </c>
      <c r="H21" s="2" t="s">
        <v>218</v>
      </c>
      <c r="I21" s="2" t="s">
        <v>589</v>
      </c>
      <c r="K21" s="2" t="s">
        <v>593</v>
      </c>
      <c r="L21" s="2" t="s">
        <v>581</v>
      </c>
      <c r="N21" s="2" t="s">
        <v>581</v>
      </c>
      <c r="P21" s="2" t="s">
        <v>581</v>
      </c>
      <c r="R21" s="2" t="s">
        <v>581</v>
      </c>
      <c r="Y21" s="3"/>
      <c r="Z21" s="2" t="s">
        <v>591</v>
      </c>
      <c r="AA21" s="2">
        <f>SUM(AA10,AA15)</f>
        <v>130</v>
      </c>
      <c r="AB21" s="7"/>
    </row>
    <row r="22" spans="1:28" ht="16" x14ac:dyDescent="0.35">
      <c r="B22" s="2" t="s">
        <v>429</v>
      </c>
      <c r="C22" s="2" t="s">
        <v>430</v>
      </c>
      <c r="D22" s="2" t="s">
        <v>6</v>
      </c>
      <c r="E22" s="2" t="s">
        <v>124</v>
      </c>
      <c r="F22" s="2" t="s">
        <v>431</v>
      </c>
      <c r="G22" s="2" t="s">
        <v>644</v>
      </c>
      <c r="H22" s="2" t="s">
        <v>432</v>
      </c>
      <c r="I22" s="2" t="s">
        <v>588</v>
      </c>
      <c r="K22" s="2" t="s">
        <v>593</v>
      </c>
      <c r="L22" s="2" t="s">
        <v>581</v>
      </c>
      <c r="N22" s="2" t="s">
        <v>581</v>
      </c>
      <c r="P22" s="2" t="s">
        <v>581</v>
      </c>
      <c r="R22" s="2" t="s">
        <v>581</v>
      </c>
      <c r="Y22" s="3"/>
      <c r="Z22" s="3" t="s">
        <v>603</v>
      </c>
      <c r="AA22" s="8">
        <f>SUM(AA18:AA21)</f>
        <v>292</v>
      </c>
      <c r="AB22" s="7"/>
    </row>
    <row r="23" spans="1:28" ht="16" x14ac:dyDescent="0.35">
      <c r="B23" s="2" t="s">
        <v>304</v>
      </c>
      <c r="C23" s="2" t="s">
        <v>305</v>
      </c>
      <c r="D23" s="2" t="s">
        <v>6</v>
      </c>
      <c r="E23" s="2" t="s">
        <v>124</v>
      </c>
      <c r="F23" s="2" t="s">
        <v>306</v>
      </c>
      <c r="G23" s="2" t="s">
        <v>644</v>
      </c>
      <c r="H23" s="2" t="s">
        <v>307</v>
      </c>
      <c r="I23" s="2" t="s">
        <v>588</v>
      </c>
      <c r="K23" s="2" t="s">
        <v>593</v>
      </c>
      <c r="L23" s="2" t="s">
        <v>60</v>
      </c>
      <c r="N23" s="2" t="s">
        <v>581</v>
      </c>
      <c r="P23" s="2" t="s">
        <v>581</v>
      </c>
      <c r="R23" s="2" t="s">
        <v>581</v>
      </c>
      <c r="Y23" s="3"/>
      <c r="AB23" s="7"/>
    </row>
    <row r="24" spans="1:28" ht="16" x14ac:dyDescent="0.35">
      <c r="B24" s="17" t="s">
        <v>34</v>
      </c>
      <c r="C24" s="17" t="s">
        <v>35</v>
      </c>
      <c r="D24" s="17" t="s">
        <v>21</v>
      </c>
      <c r="E24" s="17" t="s">
        <v>22</v>
      </c>
      <c r="F24" s="17" t="s">
        <v>26</v>
      </c>
      <c r="G24" s="17" t="s">
        <v>644</v>
      </c>
      <c r="H24" s="18" t="s">
        <v>36</v>
      </c>
      <c r="I24" s="17" t="s">
        <v>588</v>
      </c>
      <c r="J24" s="17"/>
      <c r="K24" s="17" t="s">
        <v>593</v>
      </c>
      <c r="L24" s="2" t="s">
        <v>60</v>
      </c>
      <c r="N24" s="2" t="s">
        <v>581</v>
      </c>
      <c r="P24" s="2" t="s">
        <v>581</v>
      </c>
      <c r="R24" s="2" t="s">
        <v>581</v>
      </c>
      <c r="Y24" s="3" t="s">
        <v>619</v>
      </c>
      <c r="Z24" s="2" t="s">
        <v>10</v>
      </c>
      <c r="AA24" s="2">
        <f>COUNTIF(Table1[3D Connect Mouse (Yes/No)],"Yes")</f>
        <v>65</v>
      </c>
      <c r="AB24" s="7"/>
    </row>
    <row r="25" spans="1:28" ht="16" x14ac:dyDescent="0.35">
      <c r="B25" s="2" t="s">
        <v>449</v>
      </c>
      <c r="C25" s="2" t="s">
        <v>450</v>
      </c>
      <c r="D25" s="2" t="s">
        <v>6</v>
      </c>
      <c r="E25" s="2" t="s">
        <v>124</v>
      </c>
      <c r="F25" s="2" t="s">
        <v>451</v>
      </c>
      <c r="G25" s="2" t="s">
        <v>644</v>
      </c>
      <c r="H25" s="2" t="s">
        <v>452</v>
      </c>
      <c r="I25" s="2" t="s">
        <v>589</v>
      </c>
      <c r="K25" s="2" t="s">
        <v>593</v>
      </c>
      <c r="L25" s="2" t="s">
        <v>581</v>
      </c>
      <c r="N25" s="2" t="s">
        <v>581</v>
      </c>
      <c r="P25" s="2" t="s">
        <v>581</v>
      </c>
      <c r="R25" s="2" t="s">
        <v>581</v>
      </c>
      <c r="Y25" s="3"/>
      <c r="Z25" s="2" t="s">
        <v>612</v>
      </c>
      <c r="AA25" s="2">
        <f>COUNTIF(Table1[Logitech MX Master Mouse 4 (Yes/No)],"Yes")</f>
        <v>9</v>
      </c>
      <c r="AB25" s="7"/>
    </row>
    <row r="26" spans="1:28" ht="16" x14ac:dyDescent="0.35">
      <c r="A26" s="21"/>
      <c r="B26" s="2" t="s">
        <v>284</v>
      </c>
      <c r="C26" s="2" t="s">
        <v>285</v>
      </c>
      <c r="D26" s="2" t="s">
        <v>6</v>
      </c>
      <c r="E26" s="2" t="s">
        <v>124</v>
      </c>
      <c r="F26" s="2" t="s">
        <v>286</v>
      </c>
      <c r="G26" s="2" t="s">
        <v>644</v>
      </c>
      <c r="H26" s="2" t="s">
        <v>287</v>
      </c>
      <c r="I26" s="2" t="s">
        <v>589</v>
      </c>
      <c r="K26" s="2" t="s">
        <v>593</v>
      </c>
      <c r="L26" s="2" t="s">
        <v>581</v>
      </c>
      <c r="N26" s="2" t="s">
        <v>581</v>
      </c>
      <c r="P26" s="2" t="s">
        <v>581</v>
      </c>
      <c r="R26" s="2" t="s">
        <v>581</v>
      </c>
      <c r="Y26" s="3"/>
      <c r="Z26" s="2" t="s">
        <v>615</v>
      </c>
      <c r="AA26" s="2">
        <f>COUNTIF(Table1[PS5 Controller (Yes/No)],"Yes")</f>
        <v>0</v>
      </c>
      <c r="AB26" s="7"/>
    </row>
    <row r="27" spans="1:28" ht="16" x14ac:dyDescent="0.35">
      <c r="A27" s="22">
        <v>46238</v>
      </c>
      <c r="B27" s="2" t="s">
        <v>133</v>
      </c>
      <c r="C27" s="2" t="s">
        <v>134</v>
      </c>
      <c r="D27" s="2" t="s">
        <v>6</v>
      </c>
      <c r="E27" s="2" t="s">
        <v>124</v>
      </c>
      <c r="F27" s="2" t="s">
        <v>135</v>
      </c>
      <c r="G27" s="2" t="s">
        <v>632</v>
      </c>
      <c r="H27" s="3" t="s">
        <v>136</v>
      </c>
      <c r="I27" s="2" t="s">
        <v>590</v>
      </c>
      <c r="K27" s="2" t="s">
        <v>590</v>
      </c>
      <c r="L27" s="2" t="s">
        <v>60</v>
      </c>
      <c r="N27" s="2" t="s">
        <v>581</v>
      </c>
      <c r="P27" s="2" t="s">
        <v>60</v>
      </c>
      <c r="R27" s="2" t="s">
        <v>581</v>
      </c>
      <c r="Y27" s="3"/>
      <c r="Z27" s="3" t="s">
        <v>604</v>
      </c>
      <c r="AA27" s="3">
        <f>SUM(AA24:AA26)</f>
        <v>74</v>
      </c>
      <c r="AB27" s="7"/>
    </row>
    <row r="28" spans="1:28" ht="16" x14ac:dyDescent="0.35">
      <c r="B28" s="20" t="s">
        <v>323</v>
      </c>
      <c r="C28" s="20" t="s">
        <v>324</v>
      </c>
      <c r="D28" s="20" t="s">
        <v>6</v>
      </c>
      <c r="E28" s="20" t="s">
        <v>124</v>
      </c>
      <c r="F28" s="20" t="s">
        <v>325</v>
      </c>
      <c r="G28" s="20" t="s">
        <v>644</v>
      </c>
      <c r="H28" s="20" t="s">
        <v>326</v>
      </c>
      <c r="I28" s="20" t="s">
        <v>589</v>
      </c>
      <c r="J28" s="20"/>
      <c r="K28" s="20" t="s">
        <v>593</v>
      </c>
      <c r="L28" s="2" t="s">
        <v>60</v>
      </c>
      <c r="N28" s="2" t="s">
        <v>581</v>
      </c>
      <c r="P28" s="2" t="s">
        <v>581</v>
      </c>
      <c r="R28" s="2" t="s">
        <v>581</v>
      </c>
      <c r="Y28" s="3"/>
      <c r="AB28" s="7"/>
    </row>
    <row r="29" spans="1:28" ht="16" x14ac:dyDescent="0.35">
      <c r="A29" s="21"/>
      <c r="B29" s="2" t="s">
        <v>537</v>
      </c>
      <c r="C29" s="2" t="s">
        <v>538</v>
      </c>
      <c r="D29" s="2" t="s">
        <v>21</v>
      </c>
      <c r="E29" s="2" t="s">
        <v>539</v>
      </c>
      <c r="F29" s="2" t="s">
        <v>540</v>
      </c>
      <c r="G29" s="2" t="s">
        <v>644</v>
      </c>
      <c r="H29" s="2" t="s">
        <v>541</v>
      </c>
      <c r="I29" s="2" t="s">
        <v>588</v>
      </c>
      <c r="K29" s="2" t="s">
        <v>182</v>
      </c>
      <c r="L29" s="2" t="s">
        <v>60</v>
      </c>
      <c r="N29" s="2" t="s">
        <v>581</v>
      </c>
      <c r="P29" s="2" t="s">
        <v>581</v>
      </c>
      <c r="R29" s="2" t="s">
        <v>581</v>
      </c>
      <c r="Y29" s="3" t="s">
        <v>586</v>
      </c>
      <c r="Z29" s="2" t="s">
        <v>580</v>
      </c>
      <c r="AA29" s="2">
        <f>COUNTIF(Table1[Stream Deck (Yes/No)],"Yes")</f>
        <v>14</v>
      </c>
      <c r="AB29" s="7"/>
    </row>
    <row r="30" spans="1:28" ht="16" x14ac:dyDescent="0.35">
      <c r="B30" s="2" t="s">
        <v>149</v>
      </c>
      <c r="C30" s="2" t="s">
        <v>150</v>
      </c>
      <c r="D30" s="2" t="s">
        <v>6</v>
      </c>
      <c r="E30" s="2" t="s">
        <v>124</v>
      </c>
      <c r="F30" s="2" t="s">
        <v>151</v>
      </c>
      <c r="G30" s="2" t="s">
        <v>644</v>
      </c>
      <c r="H30" s="2" t="s">
        <v>152</v>
      </c>
      <c r="I30" s="2" t="s">
        <v>589</v>
      </c>
      <c r="K30" s="2" t="s">
        <v>593</v>
      </c>
      <c r="L30" s="2" t="s">
        <v>581</v>
      </c>
      <c r="N30" s="2" t="s">
        <v>581</v>
      </c>
      <c r="P30" s="2" t="s">
        <v>581</v>
      </c>
      <c r="R30" s="2" t="s">
        <v>581</v>
      </c>
      <c r="Y30" s="3"/>
      <c r="Z30" s="3" t="s">
        <v>605</v>
      </c>
      <c r="AA30" s="3">
        <f>SUM(AA29)</f>
        <v>14</v>
      </c>
      <c r="AB30" s="7"/>
    </row>
    <row r="31" spans="1:28" ht="16" x14ac:dyDescent="0.35">
      <c r="B31" s="2" t="s">
        <v>280</v>
      </c>
      <c r="C31" s="2" t="s">
        <v>281</v>
      </c>
      <c r="D31" s="2" t="s">
        <v>6</v>
      </c>
      <c r="E31" s="2" t="s">
        <v>124</v>
      </c>
      <c r="F31" s="2" t="s">
        <v>648</v>
      </c>
      <c r="G31" s="2" t="s">
        <v>644</v>
      </c>
      <c r="H31" s="2" t="s">
        <v>283</v>
      </c>
      <c r="I31" s="2" t="s">
        <v>589</v>
      </c>
      <c r="K31" s="2" t="s">
        <v>593</v>
      </c>
      <c r="L31" s="2" t="s">
        <v>581</v>
      </c>
      <c r="N31" s="2" t="s">
        <v>581</v>
      </c>
      <c r="P31" s="2" t="s">
        <v>581</v>
      </c>
      <c r="R31" s="2" t="s">
        <v>581</v>
      </c>
      <c r="Y31" s="4"/>
      <c r="AB31" s="7"/>
    </row>
    <row r="32" spans="1:28" ht="16" x14ac:dyDescent="0.35">
      <c r="A32" s="24"/>
      <c r="B32" s="2" t="s">
        <v>137</v>
      </c>
      <c r="C32" s="2" t="s">
        <v>138</v>
      </c>
      <c r="D32" s="2" t="s">
        <v>6</v>
      </c>
      <c r="E32" s="2" t="s">
        <v>124</v>
      </c>
      <c r="F32" s="2" t="s">
        <v>139</v>
      </c>
      <c r="G32" s="2" t="s">
        <v>644</v>
      </c>
      <c r="H32" s="2" t="s">
        <v>140</v>
      </c>
      <c r="I32" s="2" t="s">
        <v>589</v>
      </c>
      <c r="K32" s="2" t="s">
        <v>593</v>
      </c>
      <c r="L32" s="2" t="s">
        <v>581</v>
      </c>
      <c r="N32" s="2" t="s">
        <v>581</v>
      </c>
      <c r="P32" s="2" t="s">
        <v>581</v>
      </c>
      <c r="R32" s="2" t="s">
        <v>581</v>
      </c>
      <c r="Y32" s="3"/>
      <c r="AB32" s="7"/>
    </row>
    <row r="33" spans="1:28" ht="16" x14ac:dyDescent="0.35">
      <c r="A33" s="22">
        <v>46238</v>
      </c>
      <c r="B33" s="12" t="s">
        <v>417</v>
      </c>
      <c r="C33" s="12" t="s">
        <v>418</v>
      </c>
      <c r="D33" s="12" t="s">
        <v>6</v>
      </c>
      <c r="E33" s="12" t="s">
        <v>124</v>
      </c>
      <c r="F33" s="12" t="s">
        <v>419</v>
      </c>
      <c r="G33" s="12" t="s">
        <v>644</v>
      </c>
      <c r="H33" s="16" t="s">
        <v>420</v>
      </c>
      <c r="I33" s="12" t="s">
        <v>588</v>
      </c>
      <c r="J33" s="12"/>
      <c r="K33" s="12" t="s">
        <v>593</v>
      </c>
      <c r="L33" s="2" t="s">
        <v>60</v>
      </c>
      <c r="N33" s="2" t="s">
        <v>581</v>
      </c>
      <c r="P33" s="2" t="s">
        <v>581</v>
      </c>
      <c r="R33" s="2" t="s">
        <v>581</v>
      </c>
      <c r="Y33" s="3"/>
      <c r="AB33" s="7"/>
    </row>
    <row r="34" spans="1:28" ht="16" x14ac:dyDescent="0.35">
      <c r="A34" s="22"/>
      <c r="B34" s="2" t="s">
        <v>235</v>
      </c>
      <c r="C34" s="2" t="s">
        <v>236</v>
      </c>
      <c r="D34" s="2" t="s">
        <v>6</v>
      </c>
      <c r="E34" s="2" t="s">
        <v>124</v>
      </c>
      <c r="F34" s="2" t="s">
        <v>237</v>
      </c>
      <c r="G34" s="2" t="s">
        <v>644</v>
      </c>
      <c r="H34" s="2" t="s">
        <v>238</v>
      </c>
      <c r="I34" s="2" t="s">
        <v>589</v>
      </c>
      <c r="K34" s="2" t="s">
        <v>593</v>
      </c>
      <c r="L34" s="2" t="s">
        <v>581</v>
      </c>
      <c r="N34" s="2" t="s">
        <v>581</v>
      </c>
      <c r="P34" s="2" t="s">
        <v>581</v>
      </c>
      <c r="R34" s="2" t="s">
        <v>581</v>
      </c>
      <c r="Y34" s="3"/>
      <c r="AB34" s="7"/>
    </row>
    <row r="35" spans="1:28" ht="16" x14ac:dyDescent="0.35">
      <c r="A35" s="23">
        <v>46259</v>
      </c>
      <c r="B35" s="12" t="s">
        <v>389</v>
      </c>
      <c r="C35" s="12" t="s">
        <v>390</v>
      </c>
      <c r="D35" s="12" t="s">
        <v>6</v>
      </c>
      <c r="E35" s="12" t="s">
        <v>124</v>
      </c>
      <c r="F35" s="12" t="s">
        <v>391</v>
      </c>
      <c r="G35" s="12" t="s">
        <v>644</v>
      </c>
      <c r="H35" s="16" t="s">
        <v>392</v>
      </c>
      <c r="I35" s="12" t="s">
        <v>589</v>
      </c>
      <c r="J35" s="12"/>
      <c r="K35" s="12" t="s">
        <v>593</v>
      </c>
      <c r="L35" s="2" t="s">
        <v>60</v>
      </c>
      <c r="N35" s="2" t="s">
        <v>581</v>
      </c>
      <c r="P35" s="2" t="s">
        <v>581</v>
      </c>
      <c r="R35" s="2" t="s">
        <v>581</v>
      </c>
      <c r="Y35" s="3"/>
      <c r="AB35" s="7"/>
    </row>
    <row r="36" spans="1:28" ht="16" x14ac:dyDescent="0.35">
      <c r="B36" s="2" t="s">
        <v>110</v>
      </c>
      <c r="C36" s="2" t="s">
        <v>111</v>
      </c>
      <c r="D36" s="2" t="s">
        <v>21</v>
      </c>
      <c r="E36" s="2" t="s">
        <v>107</v>
      </c>
      <c r="F36" s="2" t="s">
        <v>112</v>
      </c>
      <c r="G36" s="2" t="s">
        <v>644</v>
      </c>
      <c r="H36" s="2" t="s">
        <v>113</v>
      </c>
      <c r="I36" s="2" t="s">
        <v>588</v>
      </c>
      <c r="K36" s="2" t="s">
        <v>593</v>
      </c>
      <c r="L36" s="2" t="s">
        <v>581</v>
      </c>
      <c r="N36" s="2" t="s">
        <v>581</v>
      </c>
      <c r="P36" s="2" t="s">
        <v>581</v>
      </c>
      <c r="R36" s="2" t="s">
        <v>581</v>
      </c>
      <c r="Y36" s="4"/>
      <c r="AB36" s="7"/>
    </row>
    <row r="37" spans="1:28" ht="16" x14ac:dyDescent="0.35">
      <c r="A37" s="2" t="s">
        <v>706</v>
      </c>
      <c r="B37" s="17" t="s">
        <v>11</v>
      </c>
      <c r="C37" s="17" t="s">
        <v>12</v>
      </c>
      <c r="D37" s="17" t="s">
        <v>6</v>
      </c>
      <c r="E37" s="17" t="s">
        <v>7</v>
      </c>
      <c r="F37" s="17" t="s">
        <v>13</v>
      </c>
      <c r="G37" s="17" t="s">
        <v>644</v>
      </c>
      <c r="H37" s="18" t="s">
        <v>14</v>
      </c>
      <c r="I37" s="17" t="s">
        <v>593</v>
      </c>
      <c r="J37" s="17"/>
      <c r="K37" s="17" t="s">
        <v>593</v>
      </c>
      <c r="L37" s="2" t="s">
        <v>60</v>
      </c>
      <c r="N37" s="2" t="s">
        <v>581</v>
      </c>
      <c r="P37" s="2" t="s">
        <v>581</v>
      </c>
      <c r="R37" s="2" t="s">
        <v>581</v>
      </c>
      <c r="Y37" s="3"/>
      <c r="AB37" s="7"/>
    </row>
    <row r="38" spans="1:28" ht="16" x14ac:dyDescent="0.35">
      <c r="B38" s="2" t="s">
        <v>477</v>
      </c>
      <c r="C38" s="2" t="s">
        <v>478</v>
      </c>
      <c r="D38" s="2" t="s">
        <v>6</v>
      </c>
      <c r="E38" s="2" t="s">
        <v>466</v>
      </c>
      <c r="F38" s="2" t="s">
        <v>479</v>
      </c>
      <c r="G38" s="2" t="s">
        <v>644</v>
      </c>
      <c r="H38" s="2" t="s">
        <v>595</v>
      </c>
      <c r="I38" s="2" t="s">
        <v>588</v>
      </c>
      <c r="K38" s="2" t="s">
        <v>593</v>
      </c>
      <c r="L38" s="2" t="s">
        <v>60</v>
      </c>
      <c r="N38" s="2" t="s">
        <v>581</v>
      </c>
      <c r="P38" s="2" t="s">
        <v>581</v>
      </c>
      <c r="R38" s="2" t="s">
        <v>581</v>
      </c>
      <c r="Y38" s="3"/>
      <c r="AB38" s="7"/>
    </row>
    <row r="39" spans="1:28" ht="16" x14ac:dyDescent="0.35">
      <c r="A39" s="22">
        <v>46262</v>
      </c>
      <c r="B39" s="12" t="s">
        <v>393</v>
      </c>
      <c r="C39" s="12" t="s">
        <v>394</v>
      </c>
      <c r="D39" s="12" t="s">
        <v>6</v>
      </c>
      <c r="E39" s="12" t="s">
        <v>124</v>
      </c>
      <c r="F39" s="12" t="s">
        <v>395</v>
      </c>
      <c r="G39" s="12" t="s">
        <v>644</v>
      </c>
      <c r="H39" s="16" t="s">
        <v>396</v>
      </c>
      <c r="I39" s="12" t="s">
        <v>589</v>
      </c>
      <c r="J39" s="12"/>
      <c r="K39" s="12" t="s">
        <v>593</v>
      </c>
      <c r="L39" s="2" t="s">
        <v>60</v>
      </c>
      <c r="N39" s="2" t="s">
        <v>581</v>
      </c>
      <c r="P39" s="2" t="s">
        <v>581</v>
      </c>
      <c r="R39" s="2" t="s">
        <v>581</v>
      </c>
      <c r="Y39" s="3"/>
      <c r="AB39" s="7"/>
    </row>
    <row r="40" spans="1:28" ht="16" x14ac:dyDescent="0.35">
      <c r="A40" s="22">
        <v>46261</v>
      </c>
      <c r="B40" s="12" t="s">
        <v>377</v>
      </c>
      <c r="C40" s="12" t="s">
        <v>378</v>
      </c>
      <c r="D40" s="12" t="s">
        <v>6</v>
      </c>
      <c r="E40" s="12" t="s">
        <v>124</v>
      </c>
      <c r="F40" s="12" t="s">
        <v>379</v>
      </c>
      <c r="G40" s="12" t="s">
        <v>644</v>
      </c>
      <c r="H40" s="16" t="s">
        <v>380</v>
      </c>
      <c r="I40" s="12" t="s">
        <v>588</v>
      </c>
      <c r="J40" s="12"/>
      <c r="K40" s="12" t="s">
        <v>593</v>
      </c>
      <c r="L40" s="2" t="s">
        <v>60</v>
      </c>
      <c r="N40" s="2" t="s">
        <v>581</v>
      </c>
      <c r="P40" s="2" t="s">
        <v>581</v>
      </c>
      <c r="R40" s="2" t="s">
        <v>581</v>
      </c>
      <c r="Y40" s="3"/>
      <c r="AB40" s="7"/>
    </row>
    <row r="41" spans="1:28" ht="16" x14ac:dyDescent="0.35">
      <c r="B41" s="20" t="s">
        <v>170</v>
      </c>
      <c r="C41" s="20" t="s">
        <v>171</v>
      </c>
      <c r="D41" s="20" t="s">
        <v>6</v>
      </c>
      <c r="E41" s="20" t="s">
        <v>124</v>
      </c>
      <c r="F41" s="20" t="s">
        <v>172</v>
      </c>
      <c r="G41" s="20" t="s">
        <v>644</v>
      </c>
      <c r="H41" s="20" t="s">
        <v>173</v>
      </c>
      <c r="I41" s="20" t="s">
        <v>588</v>
      </c>
      <c r="J41" s="20"/>
      <c r="K41" s="20" t="s">
        <v>593</v>
      </c>
      <c r="L41" s="2" t="s">
        <v>60</v>
      </c>
      <c r="N41" s="2" t="s">
        <v>581</v>
      </c>
      <c r="P41" s="2" t="s">
        <v>581</v>
      </c>
      <c r="R41" s="2" t="s">
        <v>581</v>
      </c>
      <c r="AB41" s="7"/>
    </row>
    <row r="42" spans="1:28" ht="16" x14ac:dyDescent="0.35">
      <c r="A42" s="22">
        <v>46261</v>
      </c>
      <c r="B42" s="12" t="s">
        <v>350</v>
      </c>
      <c r="C42" s="12" t="s">
        <v>351</v>
      </c>
      <c r="D42" s="12" t="s">
        <v>6</v>
      </c>
      <c r="E42" s="12" t="s">
        <v>124</v>
      </c>
      <c r="F42" s="12" t="s">
        <v>352</v>
      </c>
      <c r="G42" s="12" t="s">
        <v>644</v>
      </c>
      <c r="H42" s="16" t="s">
        <v>353</v>
      </c>
      <c r="I42" s="12" t="s">
        <v>588</v>
      </c>
      <c r="J42" s="12"/>
      <c r="K42" s="12" t="s">
        <v>593</v>
      </c>
      <c r="L42" s="2" t="s">
        <v>60</v>
      </c>
      <c r="N42" s="2" t="s">
        <v>581</v>
      </c>
      <c r="P42" s="2" t="s">
        <v>581</v>
      </c>
      <c r="R42" s="2" t="s">
        <v>581</v>
      </c>
      <c r="AB42" s="7"/>
    </row>
    <row r="43" spans="1:28" ht="16" x14ac:dyDescent="0.35">
      <c r="A43" s="22"/>
      <c r="B43" s="2" t="s">
        <v>265</v>
      </c>
      <c r="C43" s="2" t="s">
        <v>266</v>
      </c>
      <c r="D43" s="2" t="s">
        <v>6</v>
      </c>
      <c r="E43" s="2" t="s">
        <v>124</v>
      </c>
      <c r="F43" s="2" t="s">
        <v>650</v>
      </c>
      <c r="G43" s="2" t="s">
        <v>644</v>
      </c>
      <c r="H43" s="2" t="s">
        <v>267</v>
      </c>
      <c r="I43" s="2" t="s">
        <v>589</v>
      </c>
      <c r="K43" s="2" t="s">
        <v>593</v>
      </c>
      <c r="L43" s="2" t="s">
        <v>581</v>
      </c>
      <c r="N43" s="2" t="s">
        <v>581</v>
      </c>
      <c r="P43" s="2" t="s">
        <v>581</v>
      </c>
      <c r="R43" s="2" t="s">
        <v>581</v>
      </c>
      <c r="AB43" s="7"/>
    </row>
    <row r="44" spans="1:28" ht="16" x14ac:dyDescent="0.35">
      <c r="B44" s="2" t="s">
        <v>319</v>
      </c>
      <c r="C44" s="2" t="s">
        <v>320</v>
      </c>
      <c r="D44" s="2" t="s">
        <v>6</v>
      </c>
      <c r="E44" s="2" t="s">
        <v>124</v>
      </c>
      <c r="F44" s="2" t="s">
        <v>321</v>
      </c>
      <c r="G44" s="2" t="s">
        <v>644</v>
      </c>
      <c r="H44" s="2" t="s">
        <v>322</v>
      </c>
      <c r="I44" s="2" t="s">
        <v>593</v>
      </c>
      <c r="K44" s="2" t="s">
        <v>593</v>
      </c>
      <c r="L44" s="2" t="s">
        <v>581</v>
      </c>
      <c r="N44" s="2" t="s">
        <v>581</v>
      </c>
      <c r="P44" s="2" t="s">
        <v>581</v>
      </c>
      <c r="R44" s="2" t="s">
        <v>581</v>
      </c>
      <c r="AB44" s="7"/>
    </row>
    <row r="45" spans="1:28" ht="16" x14ac:dyDescent="0.35">
      <c r="B45" s="2" t="s">
        <v>153</v>
      </c>
      <c r="C45" s="2" t="s">
        <v>154</v>
      </c>
      <c r="D45" s="2" t="s">
        <v>6</v>
      </c>
      <c r="E45" s="2" t="s">
        <v>124</v>
      </c>
      <c r="F45" s="2" t="s">
        <v>155</v>
      </c>
      <c r="G45" s="2" t="s">
        <v>644</v>
      </c>
      <c r="H45" s="2" t="s">
        <v>156</v>
      </c>
      <c r="I45" s="2" t="s">
        <v>589</v>
      </c>
      <c r="K45" s="2" t="s">
        <v>592</v>
      </c>
      <c r="L45" s="2" t="s">
        <v>581</v>
      </c>
      <c r="N45" s="2" t="s">
        <v>581</v>
      </c>
      <c r="P45" s="2" t="s">
        <v>581</v>
      </c>
      <c r="R45" s="2" t="s">
        <v>581</v>
      </c>
      <c r="AB45" s="7"/>
    </row>
    <row r="46" spans="1:28" ht="16" x14ac:dyDescent="0.35">
      <c r="B46" s="2" t="s">
        <v>557</v>
      </c>
      <c r="C46" s="2" t="s">
        <v>558</v>
      </c>
      <c r="D46" s="2" t="s">
        <v>21</v>
      </c>
      <c r="E46" s="2" t="s">
        <v>539</v>
      </c>
      <c r="F46" s="2" t="s">
        <v>559</v>
      </c>
      <c r="G46" s="2" t="s">
        <v>644</v>
      </c>
      <c r="H46" s="2" t="s">
        <v>560</v>
      </c>
      <c r="I46" s="2" t="s">
        <v>588</v>
      </c>
      <c r="K46" s="2" t="s">
        <v>593</v>
      </c>
      <c r="L46" s="2" t="s">
        <v>60</v>
      </c>
      <c r="N46" s="2" t="s">
        <v>581</v>
      </c>
      <c r="P46" s="2" t="s">
        <v>581</v>
      </c>
      <c r="R46" s="2" t="s">
        <v>581</v>
      </c>
      <c r="AB46" s="7"/>
    </row>
    <row r="47" spans="1:28" ht="16" x14ac:dyDescent="0.35">
      <c r="A47" s="22">
        <v>46265</v>
      </c>
      <c r="B47" s="12" t="s">
        <v>453</v>
      </c>
      <c r="C47" s="12" t="s">
        <v>454</v>
      </c>
      <c r="D47" s="12" t="s">
        <v>6</v>
      </c>
      <c r="E47" s="12" t="s">
        <v>124</v>
      </c>
      <c r="F47" s="12" t="s">
        <v>455</v>
      </c>
      <c r="G47" s="12" t="s">
        <v>644</v>
      </c>
      <c r="H47" s="16" t="s">
        <v>456</v>
      </c>
      <c r="I47" s="12" t="s">
        <v>588</v>
      </c>
      <c r="J47" s="12"/>
      <c r="K47" s="12" t="s">
        <v>593</v>
      </c>
      <c r="L47" s="2" t="s">
        <v>60</v>
      </c>
      <c r="N47" s="2" t="s">
        <v>581</v>
      </c>
      <c r="P47" s="2" t="s">
        <v>581</v>
      </c>
      <c r="R47" s="2" t="s">
        <v>581</v>
      </c>
      <c r="AB47" s="7"/>
    </row>
    <row r="48" spans="1:28" ht="16" x14ac:dyDescent="0.35">
      <c r="A48" s="25">
        <v>46265</v>
      </c>
      <c r="B48" s="2" t="s">
        <v>195</v>
      </c>
      <c r="C48" s="2" t="s">
        <v>196</v>
      </c>
      <c r="D48" s="2" t="s">
        <v>6</v>
      </c>
      <c r="E48" s="2" t="s">
        <v>124</v>
      </c>
      <c r="F48" s="2" t="s">
        <v>197</v>
      </c>
      <c r="G48" s="2" t="s">
        <v>644</v>
      </c>
      <c r="H48" s="2" t="s">
        <v>198</v>
      </c>
      <c r="I48" s="2" t="s">
        <v>589</v>
      </c>
      <c r="K48" s="2" t="s">
        <v>593</v>
      </c>
      <c r="L48" s="2" t="s">
        <v>581</v>
      </c>
      <c r="N48" s="2" t="s">
        <v>581</v>
      </c>
      <c r="P48" s="2" t="s">
        <v>581</v>
      </c>
      <c r="R48" s="2" t="s">
        <v>581</v>
      </c>
      <c r="AB48" s="7"/>
    </row>
    <row r="49" spans="1:28" ht="16" x14ac:dyDescent="0.35">
      <c r="A49" s="22">
        <v>46265</v>
      </c>
      <c r="B49" s="12" t="s">
        <v>354</v>
      </c>
      <c r="C49" s="12" t="s">
        <v>355</v>
      </c>
      <c r="D49" s="12" t="s">
        <v>6</v>
      </c>
      <c r="E49" s="12" t="s">
        <v>124</v>
      </c>
      <c r="F49" s="12" t="s">
        <v>356</v>
      </c>
      <c r="G49" s="12" t="s">
        <v>644</v>
      </c>
      <c r="H49" s="16" t="s">
        <v>357</v>
      </c>
      <c r="I49" s="12" t="s">
        <v>589</v>
      </c>
      <c r="J49" s="12"/>
      <c r="K49" s="12" t="s">
        <v>593</v>
      </c>
      <c r="L49" s="2" t="s">
        <v>60</v>
      </c>
      <c r="N49" s="2" t="s">
        <v>581</v>
      </c>
      <c r="P49" s="2" t="s">
        <v>581</v>
      </c>
      <c r="R49" s="2" t="s">
        <v>581</v>
      </c>
      <c r="AB49" s="7"/>
    </row>
    <row r="50" spans="1:28" ht="16" x14ac:dyDescent="0.35">
      <c r="B50" s="2" t="s">
        <v>397</v>
      </c>
      <c r="C50" s="2" t="s">
        <v>398</v>
      </c>
      <c r="D50" s="2" t="s">
        <v>6</v>
      </c>
      <c r="E50" s="2" t="s">
        <v>124</v>
      </c>
      <c r="F50" s="2" t="s">
        <v>399</v>
      </c>
      <c r="G50" s="2" t="s">
        <v>644</v>
      </c>
      <c r="H50" s="2" t="s">
        <v>400</v>
      </c>
      <c r="I50" s="2" t="s">
        <v>588</v>
      </c>
      <c r="K50" s="2" t="s">
        <v>593</v>
      </c>
      <c r="L50" s="2" t="s">
        <v>581</v>
      </c>
      <c r="N50" s="2" t="s">
        <v>581</v>
      </c>
      <c r="P50" s="2" t="s">
        <v>581</v>
      </c>
      <c r="R50" s="2" t="s">
        <v>581</v>
      </c>
      <c r="AB50" s="7"/>
    </row>
    <row r="51" spans="1:28" ht="16" x14ac:dyDescent="0.35">
      <c r="B51" s="2" t="s">
        <v>437</v>
      </c>
      <c r="C51" s="2" t="s">
        <v>438</v>
      </c>
      <c r="D51" s="2" t="s">
        <v>6</v>
      </c>
      <c r="E51" s="2" t="s">
        <v>124</v>
      </c>
      <c r="F51" s="2" t="s">
        <v>439</v>
      </c>
      <c r="G51" s="2" t="s">
        <v>644</v>
      </c>
      <c r="H51" s="2" t="s">
        <v>440</v>
      </c>
      <c r="I51" s="2" t="s">
        <v>589</v>
      </c>
      <c r="K51" s="2" t="s">
        <v>593</v>
      </c>
      <c r="L51" s="2" t="s">
        <v>581</v>
      </c>
      <c r="N51" s="2" t="s">
        <v>581</v>
      </c>
      <c r="P51" s="2" t="s">
        <v>581</v>
      </c>
      <c r="R51" s="2" t="s">
        <v>581</v>
      </c>
      <c r="AB51" s="7"/>
    </row>
    <row r="52" spans="1:28" ht="16" x14ac:dyDescent="0.35">
      <c r="B52" s="2" t="s">
        <v>86</v>
      </c>
      <c r="C52" s="2" t="s">
        <v>87</v>
      </c>
      <c r="D52" s="2" t="s">
        <v>21</v>
      </c>
      <c r="E52" s="2" t="s">
        <v>83</v>
      </c>
      <c r="F52" s="2" t="s">
        <v>88</v>
      </c>
      <c r="G52" s="2" t="s">
        <v>644</v>
      </c>
      <c r="H52" s="2" t="s">
        <v>89</v>
      </c>
      <c r="I52" s="2" t="s">
        <v>589</v>
      </c>
      <c r="K52" s="2" t="s">
        <v>593</v>
      </c>
      <c r="L52" s="2" t="s">
        <v>581</v>
      </c>
      <c r="N52" s="2" t="s">
        <v>581</v>
      </c>
      <c r="P52" s="2" t="s">
        <v>581</v>
      </c>
      <c r="R52" s="2" t="s">
        <v>581</v>
      </c>
      <c r="AB52" s="7"/>
    </row>
    <row r="53" spans="1:28" ht="16" x14ac:dyDescent="0.35">
      <c r="B53" s="2" t="s">
        <v>421</v>
      </c>
      <c r="C53" s="2" t="s">
        <v>422</v>
      </c>
      <c r="D53" s="2" t="s">
        <v>6</v>
      </c>
      <c r="E53" s="2" t="s">
        <v>124</v>
      </c>
      <c r="F53" s="2" t="s">
        <v>423</v>
      </c>
      <c r="G53" s="2" t="s">
        <v>644</v>
      </c>
      <c r="H53" s="2" t="s">
        <v>424</v>
      </c>
      <c r="I53" s="2" t="s">
        <v>588</v>
      </c>
      <c r="K53" s="2" t="s">
        <v>593</v>
      </c>
      <c r="L53" s="2" t="s">
        <v>581</v>
      </c>
      <c r="N53" s="2" t="s">
        <v>581</v>
      </c>
      <c r="P53" s="2" t="s">
        <v>581</v>
      </c>
      <c r="R53" s="2" t="s">
        <v>581</v>
      </c>
      <c r="AB53" s="7"/>
    </row>
    <row r="54" spans="1:28" ht="16" x14ac:dyDescent="0.35">
      <c r="B54" s="2" t="s">
        <v>484</v>
      </c>
      <c r="C54" s="2" t="s">
        <v>485</v>
      </c>
      <c r="D54" s="2" t="s">
        <v>6</v>
      </c>
      <c r="E54" s="2" t="s">
        <v>466</v>
      </c>
      <c r="F54" s="2" t="s">
        <v>486</v>
      </c>
      <c r="G54" s="2" t="s">
        <v>644</v>
      </c>
      <c r="H54" s="2" t="s">
        <v>487</v>
      </c>
      <c r="I54" s="2" t="s">
        <v>589</v>
      </c>
      <c r="K54" s="2" t="s">
        <v>593</v>
      </c>
      <c r="L54" s="2" t="s">
        <v>581</v>
      </c>
      <c r="N54" s="2" t="s">
        <v>581</v>
      </c>
      <c r="P54" s="2" t="s">
        <v>581</v>
      </c>
      <c r="R54" s="2" t="s">
        <v>581</v>
      </c>
      <c r="AB54" s="7"/>
    </row>
    <row r="55" spans="1:28" ht="16" x14ac:dyDescent="0.35">
      <c r="B55" s="2" t="s">
        <v>199</v>
      </c>
      <c r="C55" s="2" t="s">
        <v>200</v>
      </c>
      <c r="D55" s="2" t="s">
        <v>6</v>
      </c>
      <c r="E55" s="2" t="s">
        <v>124</v>
      </c>
      <c r="F55" s="2" t="s">
        <v>201</v>
      </c>
      <c r="G55" s="2" t="s">
        <v>644</v>
      </c>
      <c r="H55" s="2" t="s">
        <v>202</v>
      </c>
      <c r="I55" s="2" t="s">
        <v>588</v>
      </c>
      <c r="K55" s="2" t="s">
        <v>593</v>
      </c>
      <c r="L55" s="2" t="s">
        <v>581</v>
      </c>
      <c r="N55" s="2" t="s">
        <v>581</v>
      </c>
      <c r="P55" s="2" t="s">
        <v>581</v>
      </c>
      <c r="R55" s="2" t="s">
        <v>581</v>
      </c>
      <c r="AB55" s="7"/>
    </row>
    <row r="56" spans="1:28" ht="16" x14ac:dyDescent="0.35">
      <c r="B56" s="2" t="s">
        <v>211</v>
      </c>
      <c r="C56" s="2" t="s">
        <v>212</v>
      </c>
      <c r="D56" s="2" t="s">
        <v>6</v>
      </c>
      <c r="E56" s="2" t="s">
        <v>124</v>
      </c>
      <c r="F56" s="2" t="s">
        <v>213</v>
      </c>
      <c r="G56" s="2" t="s">
        <v>644</v>
      </c>
      <c r="H56" s="2" t="s">
        <v>214</v>
      </c>
      <c r="I56" s="2" t="s">
        <v>588</v>
      </c>
      <c r="K56" s="2" t="s">
        <v>593</v>
      </c>
      <c r="L56" s="2" t="s">
        <v>581</v>
      </c>
      <c r="N56" s="2" t="s">
        <v>581</v>
      </c>
      <c r="P56" s="2" t="s">
        <v>581</v>
      </c>
      <c r="R56" s="2" t="s">
        <v>581</v>
      </c>
      <c r="AB56" s="7"/>
    </row>
    <row r="57" spans="1:28" ht="16" x14ac:dyDescent="0.35">
      <c r="A57" s="22">
        <v>46259</v>
      </c>
      <c r="B57" s="12" t="s">
        <v>381</v>
      </c>
      <c r="C57" s="12" t="s">
        <v>382</v>
      </c>
      <c r="D57" s="12" t="s">
        <v>6</v>
      </c>
      <c r="E57" s="12" t="s">
        <v>124</v>
      </c>
      <c r="F57" s="12" t="s">
        <v>383</v>
      </c>
      <c r="G57" s="12" t="s">
        <v>644</v>
      </c>
      <c r="H57" s="16" t="s">
        <v>384</v>
      </c>
      <c r="I57" s="12" t="s">
        <v>589</v>
      </c>
      <c r="J57" s="12"/>
      <c r="K57" s="12" t="s">
        <v>593</v>
      </c>
      <c r="L57" s="2" t="s">
        <v>60</v>
      </c>
      <c r="N57" s="2" t="s">
        <v>581</v>
      </c>
      <c r="P57" s="2" t="s">
        <v>581</v>
      </c>
      <c r="R57" s="2" t="s">
        <v>581</v>
      </c>
      <c r="AB57" s="7"/>
    </row>
    <row r="58" spans="1:28" ht="16" x14ac:dyDescent="0.35">
      <c r="B58" s="2" t="s">
        <v>488</v>
      </c>
      <c r="C58" s="2" t="s">
        <v>489</v>
      </c>
      <c r="D58" s="2" t="s">
        <v>6</v>
      </c>
      <c r="E58" s="2" t="s">
        <v>466</v>
      </c>
      <c r="F58" s="2" t="s">
        <v>490</v>
      </c>
      <c r="G58" s="2" t="s">
        <v>644</v>
      </c>
      <c r="H58" s="2" t="s">
        <v>491</v>
      </c>
      <c r="I58" s="2" t="s">
        <v>589</v>
      </c>
      <c r="K58" s="2" t="s">
        <v>593</v>
      </c>
      <c r="L58" s="2" t="s">
        <v>581</v>
      </c>
      <c r="N58" s="2" t="s">
        <v>581</v>
      </c>
      <c r="P58" s="2" t="s">
        <v>581</v>
      </c>
      <c r="R58" s="2" t="s">
        <v>581</v>
      </c>
      <c r="AB58" s="7"/>
    </row>
    <row r="59" spans="1:28" ht="16" x14ac:dyDescent="0.35">
      <c r="B59" s="2" t="s">
        <v>369</v>
      </c>
      <c r="C59" s="2" t="s">
        <v>370</v>
      </c>
      <c r="D59" s="2" t="s">
        <v>6</v>
      </c>
      <c r="E59" s="2" t="s">
        <v>124</v>
      </c>
      <c r="F59" s="2" t="s">
        <v>371</v>
      </c>
      <c r="G59" s="2" t="s">
        <v>644</v>
      </c>
      <c r="H59" s="2" t="s">
        <v>372</v>
      </c>
      <c r="I59" s="2" t="s">
        <v>588</v>
      </c>
      <c r="K59" s="2" t="s">
        <v>593</v>
      </c>
      <c r="L59" s="2" t="s">
        <v>581</v>
      </c>
      <c r="N59" s="2" t="s">
        <v>581</v>
      </c>
      <c r="P59" s="2" t="s">
        <v>581</v>
      </c>
      <c r="R59" s="2" t="s">
        <v>581</v>
      </c>
      <c r="AB59" s="7"/>
    </row>
    <row r="60" spans="1:28" ht="16" x14ac:dyDescent="0.35">
      <c r="B60" s="2" t="s">
        <v>441</v>
      </c>
      <c r="C60" s="2" t="s">
        <v>442</v>
      </c>
      <c r="D60" s="2" t="s">
        <v>6</v>
      </c>
      <c r="E60" s="2" t="s">
        <v>124</v>
      </c>
      <c r="F60" s="2" t="s">
        <v>443</v>
      </c>
      <c r="G60" s="2" t="s">
        <v>644</v>
      </c>
      <c r="H60" s="2" t="s">
        <v>444</v>
      </c>
      <c r="I60" s="2" t="s">
        <v>589</v>
      </c>
      <c r="K60" s="2" t="s">
        <v>593</v>
      </c>
      <c r="L60" s="2" t="s">
        <v>581</v>
      </c>
      <c r="N60" s="2" t="s">
        <v>581</v>
      </c>
      <c r="P60" s="2" t="s">
        <v>581</v>
      </c>
      <c r="R60" s="2" t="s">
        <v>581</v>
      </c>
      <c r="AB60" s="7"/>
    </row>
    <row r="61" spans="1:28" ht="16" x14ac:dyDescent="0.35">
      <c r="B61" s="2" t="s">
        <v>554</v>
      </c>
      <c r="C61" s="2" t="s">
        <v>555</v>
      </c>
      <c r="D61" s="2" t="s">
        <v>21</v>
      </c>
      <c r="E61" s="2" t="s">
        <v>539</v>
      </c>
      <c r="F61" s="2" t="s">
        <v>552</v>
      </c>
      <c r="G61" s="2" t="s">
        <v>644</v>
      </c>
      <c r="H61" s="2" t="s">
        <v>556</v>
      </c>
      <c r="I61" s="2" t="s">
        <v>588</v>
      </c>
      <c r="K61" s="2" t="s">
        <v>593</v>
      </c>
      <c r="L61" s="2" t="s">
        <v>60</v>
      </c>
      <c r="N61" s="2" t="s">
        <v>581</v>
      </c>
      <c r="P61" s="2" t="s">
        <v>581</v>
      </c>
      <c r="R61" s="2" t="s">
        <v>581</v>
      </c>
      <c r="AB61" s="7"/>
    </row>
    <row r="62" spans="1:28" ht="16" x14ac:dyDescent="0.35">
      <c r="B62" s="2" t="s">
        <v>525</v>
      </c>
      <c r="C62" s="2" t="s">
        <v>526</v>
      </c>
      <c r="D62" s="2" t="s">
        <v>6</v>
      </c>
      <c r="E62" s="2" t="s">
        <v>124</v>
      </c>
      <c r="F62" s="2" t="s">
        <v>656</v>
      </c>
      <c r="G62" s="2" t="s">
        <v>644</v>
      </c>
      <c r="H62" s="2" t="s">
        <v>528</v>
      </c>
      <c r="I62" s="2" t="s">
        <v>588</v>
      </c>
      <c r="K62" s="2" t="s">
        <v>593</v>
      </c>
      <c r="L62" s="2" t="s">
        <v>581</v>
      </c>
      <c r="N62" s="2" t="s">
        <v>581</v>
      </c>
      <c r="P62" s="2" t="s">
        <v>581</v>
      </c>
      <c r="R62" s="2" t="s">
        <v>581</v>
      </c>
      <c r="AB62" s="7"/>
    </row>
    <row r="63" spans="1:28" ht="16" x14ac:dyDescent="0.35">
      <c r="A63" s="22">
        <v>46245</v>
      </c>
      <c r="B63" s="14" t="s">
        <v>61</v>
      </c>
      <c r="C63" s="14" t="s">
        <v>666</v>
      </c>
      <c r="D63" s="14" t="s">
        <v>21</v>
      </c>
      <c r="E63" s="14" t="s">
        <v>62</v>
      </c>
      <c r="F63" s="14" t="s">
        <v>63</v>
      </c>
      <c r="G63" s="14" t="s">
        <v>661</v>
      </c>
      <c r="H63" s="15" t="s">
        <v>64</v>
      </c>
      <c r="I63" s="14" t="s">
        <v>590</v>
      </c>
      <c r="J63" s="14" t="s">
        <v>667</v>
      </c>
      <c r="K63" s="14" t="s">
        <v>589</v>
      </c>
      <c r="L63" s="19" t="s">
        <v>60</v>
      </c>
      <c r="N63" s="2" t="s">
        <v>60</v>
      </c>
      <c r="O63" s="2" t="s">
        <v>668</v>
      </c>
      <c r="P63" s="2" t="s">
        <v>60</v>
      </c>
      <c r="Q63" s="2" t="s">
        <v>669</v>
      </c>
      <c r="R63" s="2" t="s">
        <v>581</v>
      </c>
      <c r="AB63" s="7"/>
    </row>
    <row r="64" spans="1:28" ht="16" x14ac:dyDescent="0.35">
      <c r="A64" s="22">
        <v>46287</v>
      </c>
      <c r="B64" s="17" t="s">
        <v>223</v>
      </c>
      <c r="C64" s="17" t="s">
        <v>224</v>
      </c>
      <c r="D64" s="17" t="s">
        <v>6</v>
      </c>
      <c r="E64" s="17" t="s">
        <v>124</v>
      </c>
      <c r="F64" s="17" t="s">
        <v>225</v>
      </c>
      <c r="G64" s="17" t="s">
        <v>644</v>
      </c>
      <c r="H64" s="18" t="s">
        <v>226</v>
      </c>
      <c r="I64" s="17" t="s">
        <v>589</v>
      </c>
      <c r="J64" s="17"/>
      <c r="K64" s="17" t="s">
        <v>593</v>
      </c>
      <c r="L64" s="2" t="s">
        <v>581</v>
      </c>
      <c r="N64" s="2" t="s">
        <v>581</v>
      </c>
      <c r="P64" s="2" t="s">
        <v>581</v>
      </c>
      <c r="R64" s="2" t="s">
        <v>581</v>
      </c>
      <c r="AB64" s="7"/>
    </row>
    <row r="65" spans="1:28" ht="16" x14ac:dyDescent="0.35">
      <c r="B65" s="2" t="s">
        <v>362</v>
      </c>
      <c r="C65" s="2" t="s">
        <v>363</v>
      </c>
      <c r="D65" s="2" t="s">
        <v>6</v>
      </c>
      <c r="E65" s="2" t="s">
        <v>124</v>
      </c>
      <c r="F65" s="2" t="s">
        <v>364</v>
      </c>
      <c r="G65" s="2" t="s">
        <v>644</v>
      </c>
      <c r="H65" s="2" t="s">
        <v>365</v>
      </c>
      <c r="I65" s="2" t="s">
        <v>589</v>
      </c>
      <c r="K65" s="2" t="s">
        <v>593</v>
      </c>
      <c r="L65" s="2" t="s">
        <v>581</v>
      </c>
      <c r="N65" s="2" t="s">
        <v>581</v>
      </c>
      <c r="P65" s="2" t="s">
        <v>581</v>
      </c>
      <c r="R65" s="2" t="s">
        <v>581</v>
      </c>
      <c r="AB65" s="7"/>
    </row>
    <row r="66" spans="1:28" ht="16" x14ac:dyDescent="0.35">
      <c r="B66" s="2" t="s">
        <v>492</v>
      </c>
      <c r="C66" s="2" t="s">
        <v>493</v>
      </c>
      <c r="D66" s="2" t="s">
        <v>6</v>
      </c>
      <c r="E66" s="2" t="s">
        <v>466</v>
      </c>
      <c r="F66" s="2" t="s">
        <v>494</v>
      </c>
      <c r="G66" s="2" t="s">
        <v>644</v>
      </c>
      <c r="H66" s="2" t="s">
        <v>495</v>
      </c>
      <c r="I66" s="2" t="s">
        <v>589</v>
      </c>
      <c r="K66" s="2" t="s">
        <v>593</v>
      </c>
      <c r="L66" s="2" t="s">
        <v>581</v>
      </c>
      <c r="N66" s="2" t="s">
        <v>581</v>
      </c>
      <c r="P66" s="2" t="s">
        <v>581</v>
      </c>
      <c r="R66" s="2" t="s">
        <v>581</v>
      </c>
      <c r="AB66" s="7"/>
    </row>
    <row r="67" spans="1:28" ht="16" x14ac:dyDescent="0.35">
      <c r="B67" s="2" t="s">
        <v>550</v>
      </c>
      <c r="C67" s="2" t="s">
        <v>551</v>
      </c>
      <c r="D67" s="2" t="s">
        <v>21</v>
      </c>
      <c r="E67" s="2" t="s">
        <v>539</v>
      </c>
      <c r="F67" s="2" t="s">
        <v>552</v>
      </c>
      <c r="G67" s="2" t="s">
        <v>644</v>
      </c>
      <c r="H67" s="2" t="s">
        <v>553</v>
      </c>
      <c r="I67" s="2" t="s">
        <v>588</v>
      </c>
      <c r="K67" s="2" t="s">
        <v>593</v>
      </c>
      <c r="L67" s="2" t="s">
        <v>60</v>
      </c>
      <c r="N67" s="2" t="s">
        <v>581</v>
      </c>
      <c r="P67" s="2" t="s">
        <v>581</v>
      </c>
      <c r="R67" s="2" t="s">
        <v>581</v>
      </c>
      <c r="AB67" s="7"/>
    </row>
    <row r="68" spans="1:28" ht="16" x14ac:dyDescent="0.35">
      <c r="B68" s="17" t="s">
        <v>47</v>
      </c>
      <c r="C68" s="17" t="s">
        <v>48</v>
      </c>
      <c r="D68" s="17" t="s">
        <v>21</v>
      </c>
      <c r="E68" s="17" t="s">
        <v>22</v>
      </c>
      <c r="F68" s="17" t="s">
        <v>575</v>
      </c>
      <c r="G68" s="17" t="s">
        <v>644</v>
      </c>
      <c r="H68" s="18" t="s">
        <v>43</v>
      </c>
      <c r="I68" s="17" t="s">
        <v>588</v>
      </c>
      <c r="J68" s="17"/>
      <c r="K68" s="17" t="s">
        <v>589</v>
      </c>
      <c r="L68" s="2" t="s">
        <v>60</v>
      </c>
      <c r="N68" s="2" t="s">
        <v>581</v>
      </c>
      <c r="P68" s="2" t="s">
        <v>581</v>
      </c>
      <c r="R68" s="2" t="s">
        <v>581</v>
      </c>
      <c r="AB68" s="7"/>
    </row>
    <row r="69" spans="1:28" ht="16" x14ac:dyDescent="0.35">
      <c r="A69" s="22">
        <v>46245</v>
      </c>
      <c r="B69" s="14" t="s">
        <v>674</v>
      </c>
      <c r="C69" s="14" t="s">
        <v>675</v>
      </c>
      <c r="D69" s="14" t="s">
        <v>21</v>
      </c>
      <c r="E69" s="14" t="s">
        <v>83</v>
      </c>
      <c r="F69" s="14" t="s">
        <v>84</v>
      </c>
      <c r="G69" s="14" t="s">
        <v>661</v>
      </c>
      <c r="H69" s="15" t="s">
        <v>85</v>
      </c>
      <c r="I69" s="14" t="s">
        <v>590</v>
      </c>
      <c r="J69" s="14" t="s">
        <v>676</v>
      </c>
      <c r="K69" s="14" t="s">
        <v>677</v>
      </c>
      <c r="L69" s="19" t="s">
        <v>60</v>
      </c>
      <c r="N69" s="2" t="s">
        <v>60</v>
      </c>
      <c r="O69" s="2" t="s">
        <v>678</v>
      </c>
      <c r="P69" s="2" t="s">
        <v>60</v>
      </c>
      <c r="Q69" s="2" t="s">
        <v>679</v>
      </c>
      <c r="R69" s="2" t="s">
        <v>581</v>
      </c>
      <c r="AB69" s="7"/>
    </row>
    <row r="70" spans="1:28" ht="16" x14ac:dyDescent="0.35">
      <c r="B70" s="2" t="s">
        <v>141</v>
      </c>
      <c r="C70" s="2" t="s">
        <v>142</v>
      </c>
      <c r="D70" s="2" t="s">
        <v>6</v>
      </c>
      <c r="E70" s="2" t="s">
        <v>124</v>
      </c>
      <c r="F70" s="2" t="s">
        <v>143</v>
      </c>
      <c r="G70" s="2" t="s">
        <v>644</v>
      </c>
      <c r="H70" s="2" t="s">
        <v>144</v>
      </c>
      <c r="I70" s="2" t="s">
        <v>589</v>
      </c>
      <c r="K70" s="2" t="s">
        <v>593</v>
      </c>
      <c r="L70" s="2" t="s">
        <v>581</v>
      </c>
      <c r="N70" s="2" t="s">
        <v>581</v>
      </c>
      <c r="P70" s="2" t="s">
        <v>581</v>
      </c>
      <c r="R70" s="2" t="s">
        <v>581</v>
      </c>
      <c r="AB70" s="7"/>
    </row>
    <row r="71" spans="1:28" ht="16" x14ac:dyDescent="0.35">
      <c r="B71" s="17" t="s">
        <v>44</v>
      </c>
      <c r="C71" s="17" t="s">
        <v>45</v>
      </c>
      <c r="D71" s="17" t="s">
        <v>21</v>
      </c>
      <c r="E71" s="17" t="s">
        <v>22</v>
      </c>
      <c r="F71" s="17" t="s">
        <v>576</v>
      </c>
      <c r="G71" s="17" t="s">
        <v>644</v>
      </c>
      <c r="H71" s="18" t="s">
        <v>46</v>
      </c>
      <c r="I71" s="17" t="s">
        <v>588</v>
      </c>
      <c r="J71" s="17"/>
      <c r="K71" s="17" t="s">
        <v>589</v>
      </c>
      <c r="L71" s="2" t="s">
        <v>60</v>
      </c>
      <c r="N71" s="2" t="s">
        <v>581</v>
      </c>
      <c r="P71" s="2" t="s">
        <v>581</v>
      </c>
      <c r="R71" s="2" t="s">
        <v>581</v>
      </c>
      <c r="AB71" s="7"/>
    </row>
    <row r="72" spans="1:28" ht="16" x14ac:dyDescent="0.35">
      <c r="B72" s="2" t="s">
        <v>565</v>
      </c>
      <c r="C72" s="2" t="s">
        <v>566</v>
      </c>
      <c r="D72" s="2" t="s">
        <v>21</v>
      </c>
      <c r="E72" s="2" t="s">
        <v>539</v>
      </c>
      <c r="F72" s="2" t="s">
        <v>567</v>
      </c>
      <c r="G72" s="2" t="s">
        <v>644</v>
      </c>
      <c r="H72" s="2" t="s">
        <v>568</v>
      </c>
      <c r="I72" s="2" t="s">
        <v>588</v>
      </c>
      <c r="K72" s="2" t="s">
        <v>585</v>
      </c>
      <c r="L72" s="2" t="s">
        <v>60</v>
      </c>
      <c r="N72" s="2" t="s">
        <v>581</v>
      </c>
      <c r="P72" s="2" t="s">
        <v>581</v>
      </c>
      <c r="R72" s="2" t="s">
        <v>581</v>
      </c>
      <c r="AB72" s="7"/>
    </row>
    <row r="73" spans="1:28" ht="16" x14ac:dyDescent="0.35">
      <c r="B73" s="2" t="s">
        <v>105</v>
      </c>
      <c r="C73" s="2" t="s">
        <v>106</v>
      </c>
      <c r="D73" s="2" t="s">
        <v>21</v>
      </c>
      <c r="E73" s="2" t="s">
        <v>107</v>
      </c>
      <c r="F73" s="2" t="s">
        <v>108</v>
      </c>
      <c r="G73" s="2" t="s">
        <v>644</v>
      </c>
      <c r="H73" s="2" t="s">
        <v>109</v>
      </c>
      <c r="I73" s="2" t="s">
        <v>588</v>
      </c>
      <c r="K73" s="2" t="s">
        <v>593</v>
      </c>
      <c r="L73" s="2" t="s">
        <v>60</v>
      </c>
      <c r="N73" s="2" t="s">
        <v>581</v>
      </c>
      <c r="P73" s="2" t="s">
        <v>581</v>
      </c>
      <c r="R73" s="2" t="s">
        <v>581</v>
      </c>
      <c r="AB73" s="7"/>
    </row>
    <row r="74" spans="1:28" ht="16" x14ac:dyDescent="0.35">
      <c r="A74" s="22">
        <v>46287</v>
      </c>
      <c r="B74" s="17" t="s">
        <v>19</v>
      </c>
      <c r="C74" s="17" t="s">
        <v>20</v>
      </c>
      <c r="D74" s="17" t="s">
        <v>21</v>
      </c>
      <c r="E74" s="17" t="s">
        <v>22</v>
      </c>
      <c r="F74" s="17" t="s">
        <v>572</v>
      </c>
      <c r="G74" s="17" t="s">
        <v>644</v>
      </c>
      <c r="H74" s="18" t="s">
        <v>578</v>
      </c>
      <c r="I74" s="17" t="s">
        <v>588</v>
      </c>
      <c r="J74" s="17"/>
      <c r="K74" s="17" t="s">
        <v>589</v>
      </c>
      <c r="L74" s="2" t="s">
        <v>60</v>
      </c>
      <c r="N74" s="2" t="s">
        <v>581</v>
      </c>
      <c r="P74" s="2" t="s">
        <v>581</v>
      </c>
      <c r="R74" s="2" t="s">
        <v>581</v>
      </c>
      <c r="AB74" s="7"/>
    </row>
    <row r="75" spans="1:28" ht="16" x14ac:dyDescent="0.35">
      <c r="A75" s="22">
        <v>46287</v>
      </c>
      <c r="B75" s="17" t="s">
        <v>28</v>
      </c>
      <c r="C75" s="17" t="s">
        <v>29</v>
      </c>
      <c r="D75" s="17" t="s">
        <v>21</v>
      </c>
      <c r="E75" s="17" t="s">
        <v>22</v>
      </c>
      <c r="F75" s="17" t="s">
        <v>573</v>
      </c>
      <c r="G75" s="17" t="s">
        <v>644</v>
      </c>
      <c r="H75" s="18" t="s">
        <v>30</v>
      </c>
      <c r="I75" s="17" t="s">
        <v>588</v>
      </c>
      <c r="J75" s="17"/>
      <c r="K75" s="17" t="s">
        <v>589</v>
      </c>
      <c r="L75" s="2" t="s">
        <v>60</v>
      </c>
      <c r="N75" s="2" t="s">
        <v>581</v>
      </c>
      <c r="P75" s="2" t="s">
        <v>581</v>
      </c>
      <c r="R75" s="2" t="s">
        <v>581</v>
      </c>
      <c r="AB75" s="7"/>
    </row>
    <row r="76" spans="1:28" ht="16" x14ac:dyDescent="0.35">
      <c r="A76" s="23">
        <v>46280</v>
      </c>
      <c r="B76" s="17" t="s">
        <v>164</v>
      </c>
      <c r="C76" s="17" t="s">
        <v>165</v>
      </c>
      <c r="D76" s="17" t="s">
        <v>6</v>
      </c>
      <c r="E76" s="17" t="s">
        <v>124</v>
      </c>
      <c r="F76" s="17" t="s">
        <v>166</v>
      </c>
      <c r="G76" s="17" t="s">
        <v>643</v>
      </c>
      <c r="H76" s="18" t="s">
        <v>167</v>
      </c>
      <c r="I76" s="17" t="s">
        <v>589</v>
      </c>
      <c r="J76" s="17"/>
      <c r="K76" s="17" t="s">
        <v>593</v>
      </c>
      <c r="L76" s="2" t="s">
        <v>581</v>
      </c>
      <c r="N76" s="2" t="s">
        <v>581</v>
      </c>
      <c r="P76" s="2" t="s">
        <v>581</v>
      </c>
      <c r="R76" s="2" t="s">
        <v>581</v>
      </c>
      <c r="AB76" s="7"/>
    </row>
    <row r="77" spans="1:28" ht="16" x14ac:dyDescent="0.35">
      <c r="B77" s="2" t="s">
        <v>118</v>
      </c>
      <c r="C77" s="2" t="s">
        <v>119</v>
      </c>
      <c r="D77" s="2" t="s">
        <v>21</v>
      </c>
      <c r="E77" s="2" t="s">
        <v>107</v>
      </c>
      <c r="F77" s="2" t="s">
        <v>120</v>
      </c>
      <c r="G77" s="2" t="s">
        <v>644</v>
      </c>
      <c r="H77" s="2" t="s">
        <v>121</v>
      </c>
      <c r="I77" s="2" t="s">
        <v>588</v>
      </c>
      <c r="K77" s="2" t="s">
        <v>593</v>
      </c>
      <c r="L77" s="2" t="s">
        <v>581</v>
      </c>
      <c r="N77" s="2" t="s">
        <v>581</v>
      </c>
      <c r="P77" s="2" t="s">
        <v>581</v>
      </c>
      <c r="R77" s="2" t="s">
        <v>581</v>
      </c>
      <c r="AB77" s="7"/>
    </row>
    <row r="78" spans="1:28" ht="16" x14ac:dyDescent="0.35">
      <c r="B78" s="2" t="s">
        <v>401</v>
      </c>
      <c r="C78" s="2" t="s">
        <v>402</v>
      </c>
      <c r="D78" s="2" t="s">
        <v>6</v>
      </c>
      <c r="E78" s="2" t="s">
        <v>124</v>
      </c>
      <c r="F78" s="2" t="s">
        <v>403</v>
      </c>
      <c r="G78" s="2" t="s">
        <v>644</v>
      </c>
      <c r="H78" s="2" t="s">
        <v>404</v>
      </c>
      <c r="I78" s="2" t="s">
        <v>589</v>
      </c>
      <c r="K78" s="2" t="s">
        <v>593</v>
      </c>
      <c r="L78" s="2" t="s">
        <v>581</v>
      </c>
      <c r="N78" s="2" t="s">
        <v>581</v>
      </c>
      <c r="P78" s="2" t="s">
        <v>581</v>
      </c>
      <c r="R78" s="2" t="s">
        <v>581</v>
      </c>
      <c r="AB78" s="7"/>
    </row>
    <row r="79" spans="1:28" ht="16" x14ac:dyDescent="0.35">
      <c r="B79" s="2" t="s">
        <v>433</v>
      </c>
      <c r="C79" s="2" t="s">
        <v>434</v>
      </c>
      <c r="D79" s="2" t="s">
        <v>6</v>
      </c>
      <c r="E79" s="2" t="s">
        <v>124</v>
      </c>
      <c r="F79" s="2" t="s">
        <v>435</v>
      </c>
      <c r="G79" s="2" t="s">
        <v>644</v>
      </c>
      <c r="H79" s="2" t="s">
        <v>436</v>
      </c>
      <c r="I79" s="2" t="s">
        <v>589</v>
      </c>
      <c r="K79" s="2" t="s">
        <v>593</v>
      </c>
      <c r="L79" s="2" t="s">
        <v>581</v>
      </c>
      <c r="N79" s="2" t="s">
        <v>581</v>
      </c>
      <c r="P79" s="2" t="s">
        <v>581</v>
      </c>
      <c r="R79" s="2" t="s">
        <v>581</v>
      </c>
      <c r="AB79" s="7"/>
    </row>
    <row r="80" spans="1:28" ht="16" x14ac:dyDescent="0.35">
      <c r="B80" s="2" t="s">
        <v>160</v>
      </c>
      <c r="C80" s="2" t="s">
        <v>161</v>
      </c>
      <c r="D80" s="2" t="s">
        <v>6</v>
      </c>
      <c r="E80" s="2" t="s">
        <v>124</v>
      </c>
      <c r="F80" s="2" t="s">
        <v>162</v>
      </c>
      <c r="G80" s="2" t="s">
        <v>644</v>
      </c>
      <c r="H80" s="2" t="s">
        <v>163</v>
      </c>
      <c r="I80" s="2" t="s">
        <v>589</v>
      </c>
      <c r="K80" s="2" t="s">
        <v>593</v>
      </c>
      <c r="L80" s="2" t="s">
        <v>581</v>
      </c>
      <c r="N80" s="2" t="s">
        <v>581</v>
      </c>
      <c r="P80" s="2" t="s">
        <v>581</v>
      </c>
      <c r="R80" s="2" t="s">
        <v>581</v>
      </c>
      <c r="AB80" s="7"/>
    </row>
    <row r="81" spans="1:28" ht="16" x14ac:dyDescent="0.35">
      <c r="B81" s="2" t="s">
        <v>331</v>
      </c>
      <c r="C81" s="2" t="s">
        <v>332</v>
      </c>
      <c r="D81" s="2" t="s">
        <v>6</v>
      </c>
      <c r="E81" s="2" t="s">
        <v>124</v>
      </c>
      <c r="F81" s="2" t="s">
        <v>333</v>
      </c>
      <c r="G81" s="2" t="s">
        <v>644</v>
      </c>
      <c r="H81" s="2" t="s">
        <v>334</v>
      </c>
      <c r="I81" s="2" t="s">
        <v>589</v>
      </c>
      <c r="K81" s="2" t="s">
        <v>593</v>
      </c>
      <c r="L81" s="2" t="s">
        <v>581</v>
      </c>
      <c r="N81" s="2" t="s">
        <v>581</v>
      </c>
      <c r="P81" s="2" t="s">
        <v>581</v>
      </c>
      <c r="R81" s="2" t="s">
        <v>581</v>
      </c>
      <c r="AB81" s="7"/>
    </row>
    <row r="82" spans="1:28" ht="16" x14ac:dyDescent="0.35">
      <c r="B82" s="2" t="s">
        <v>312</v>
      </c>
      <c r="C82" s="2" t="s">
        <v>313</v>
      </c>
      <c r="D82" s="2" t="s">
        <v>6</v>
      </c>
      <c r="E82" s="2" t="s">
        <v>124</v>
      </c>
      <c r="F82" s="2" t="s">
        <v>314</v>
      </c>
      <c r="G82" s="2" t="s">
        <v>644</v>
      </c>
      <c r="H82" s="2" t="s">
        <v>315</v>
      </c>
      <c r="I82" s="2" t="s">
        <v>589</v>
      </c>
      <c r="K82" s="2" t="s">
        <v>593</v>
      </c>
      <c r="L82" s="2" t="s">
        <v>581</v>
      </c>
      <c r="N82" s="2" t="s">
        <v>581</v>
      </c>
      <c r="P82" s="2" t="s">
        <v>581</v>
      </c>
      <c r="R82" s="2" t="s">
        <v>581</v>
      </c>
      <c r="AB82" s="7"/>
    </row>
    <row r="83" spans="1:28" ht="16" x14ac:dyDescent="0.35">
      <c r="B83" s="2" t="s">
        <v>69</v>
      </c>
      <c r="C83" s="2" t="s">
        <v>70</v>
      </c>
      <c r="D83" s="2" t="s">
        <v>6</v>
      </c>
      <c r="E83" s="2" t="s">
        <v>71</v>
      </c>
      <c r="F83" s="2" t="s">
        <v>72</v>
      </c>
      <c r="G83" s="2" t="s">
        <v>644</v>
      </c>
      <c r="H83" s="2" t="s">
        <v>73</v>
      </c>
      <c r="I83" s="2" t="s">
        <v>588</v>
      </c>
      <c r="K83" s="2" t="s">
        <v>593</v>
      </c>
      <c r="L83" s="2" t="s">
        <v>581</v>
      </c>
      <c r="N83" s="2" t="s">
        <v>581</v>
      </c>
      <c r="P83" s="2" t="s">
        <v>581</v>
      </c>
      <c r="R83" s="2" t="s">
        <v>581</v>
      </c>
      <c r="AB83" s="7"/>
    </row>
    <row r="84" spans="1:28" ht="16" x14ac:dyDescent="0.35">
      <c r="B84" s="2" t="s">
        <v>239</v>
      </c>
      <c r="C84" s="2" t="s">
        <v>240</v>
      </c>
      <c r="D84" s="2" t="s">
        <v>6</v>
      </c>
      <c r="E84" s="2" t="s">
        <v>124</v>
      </c>
      <c r="F84" s="2" t="s">
        <v>241</v>
      </c>
      <c r="G84" s="2" t="s">
        <v>644</v>
      </c>
      <c r="H84" s="2" t="s">
        <v>242</v>
      </c>
      <c r="I84" s="2" t="s">
        <v>589</v>
      </c>
      <c r="K84" s="2" t="s">
        <v>593</v>
      </c>
      <c r="L84" s="2" t="s">
        <v>581</v>
      </c>
      <c r="N84" s="2" t="s">
        <v>581</v>
      </c>
      <c r="P84" s="2" t="s">
        <v>581</v>
      </c>
      <c r="R84" s="2" t="s">
        <v>581</v>
      </c>
      <c r="AB84" s="7"/>
    </row>
    <row r="85" spans="1:28" ht="16" x14ac:dyDescent="0.35">
      <c r="A85" s="22">
        <v>46261</v>
      </c>
      <c r="B85" s="12" t="s">
        <v>262</v>
      </c>
      <c r="C85" s="12" t="s">
        <v>263</v>
      </c>
      <c r="D85" s="12" t="s">
        <v>6</v>
      </c>
      <c r="E85" s="12" t="s">
        <v>124</v>
      </c>
      <c r="F85" s="12" t="s">
        <v>647</v>
      </c>
      <c r="G85" s="12" t="s">
        <v>644</v>
      </c>
      <c r="H85" s="16" t="s">
        <v>264</v>
      </c>
      <c r="I85" s="12" t="s">
        <v>589</v>
      </c>
      <c r="J85" s="12"/>
      <c r="K85" s="12" t="s">
        <v>593</v>
      </c>
      <c r="L85" s="2" t="s">
        <v>60</v>
      </c>
      <c r="N85" s="2" t="s">
        <v>581</v>
      </c>
      <c r="P85" s="2" t="s">
        <v>581</v>
      </c>
      <c r="R85" s="2" t="s">
        <v>581</v>
      </c>
      <c r="AB85" s="7"/>
    </row>
    <row r="86" spans="1:28" ht="16" x14ac:dyDescent="0.35">
      <c r="B86" s="2" t="s">
        <v>339</v>
      </c>
      <c r="C86" s="2" t="s">
        <v>340</v>
      </c>
      <c r="D86" s="2" t="s">
        <v>6</v>
      </c>
      <c r="E86" s="2" t="s">
        <v>124</v>
      </c>
      <c r="F86" s="2" t="s">
        <v>341</v>
      </c>
      <c r="G86" s="2" t="s">
        <v>644</v>
      </c>
      <c r="H86" s="2" t="s">
        <v>342</v>
      </c>
      <c r="I86" s="2" t="s">
        <v>589</v>
      </c>
      <c r="K86" s="2" t="s">
        <v>593</v>
      </c>
      <c r="L86" s="2" t="s">
        <v>581</v>
      </c>
      <c r="N86" s="2" t="s">
        <v>581</v>
      </c>
      <c r="P86" s="2" t="s">
        <v>581</v>
      </c>
      <c r="R86" s="2" t="s">
        <v>581</v>
      </c>
      <c r="AB86" s="7"/>
    </row>
    <row r="87" spans="1:28" ht="16" x14ac:dyDescent="0.35">
      <c r="B87" s="2" t="s">
        <v>300</v>
      </c>
      <c r="C87" s="2" t="s">
        <v>301</v>
      </c>
      <c r="D87" s="2" t="s">
        <v>6</v>
      </c>
      <c r="E87" s="2" t="s">
        <v>124</v>
      </c>
      <c r="F87" s="2" t="s">
        <v>302</v>
      </c>
      <c r="G87" s="2" t="s">
        <v>644</v>
      </c>
      <c r="H87" s="2" t="s">
        <v>303</v>
      </c>
      <c r="I87" s="2" t="s">
        <v>588</v>
      </c>
      <c r="K87" s="2" t="s">
        <v>593</v>
      </c>
      <c r="L87" s="2" t="s">
        <v>581</v>
      </c>
      <c r="N87" s="2" t="s">
        <v>581</v>
      </c>
      <c r="P87" s="2" t="s">
        <v>581</v>
      </c>
      <c r="R87" s="2" t="s">
        <v>581</v>
      </c>
      <c r="AB87" s="7"/>
    </row>
    <row r="88" spans="1:28" ht="16" x14ac:dyDescent="0.35">
      <c r="B88" s="2" t="s">
        <v>308</v>
      </c>
      <c r="C88" s="2" t="s">
        <v>309</v>
      </c>
      <c r="D88" s="2" t="s">
        <v>6</v>
      </c>
      <c r="E88" s="2" t="s">
        <v>124</v>
      </c>
      <c r="F88" s="2" t="s">
        <v>310</v>
      </c>
      <c r="G88" s="2" t="s">
        <v>644</v>
      </c>
      <c r="H88" s="2" t="s">
        <v>311</v>
      </c>
      <c r="I88" s="2" t="s">
        <v>588</v>
      </c>
      <c r="K88" s="2" t="s">
        <v>593</v>
      </c>
      <c r="L88" s="2" t="s">
        <v>60</v>
      </c>
      <c r="N88" s="2" t="s">
        <v>581</v>
      </c>
      <c r="P88" s="2" t="s">
        <v>581</v>
      </c>
      <c r="R88" s="2" t="s">
        <v>581</v>
      </c>
      <c r="AB88" s="7"/>
    </row>
    <row r="89" spans="1:28" ht="16" x14ac:dyDescent="0.35">
      <c r="B89" s="2" t="s">
        <v>385</v>
      </c>
      <c r="C89" s="2" t="s">
        <v>386</v>
      </c>
      <c r="D89" s="2" t="s">
        <v>6</v>
      </c>
      <c r="E89" s="2" t="s">
        <v>124</v>
      </c>
      <c r="F89" s="2" t="s">
        <v>387</v>
      </c>
      <c r="G89" s="2" t="s">
        <v>644</v>
      </c>
      <c r="H89" s="2" t="s">
        <v>388</v>
      </c>
      <c r="I89" s="2" t="s">
        <v>589</v>
      </c>
      <c r="K89" s="2" t="s">
        <v>593</v>
      </c>
      <c r="L89" s="2" t="s">
        <v>581</v>
      </c>
      <c r="N89" s="2" t="s">
        <v>581</v>
      </c>
      <c r="P89" s="2" t="s">
        <v>581</v>
      </c>
      <c r="R89" s="2" t="s">
        <v>581</v>
      </c>
      <c r="AB89" s="7"/>
    </row>
    <row r="90" spans="1:28" ht="16" x14ac:dyDescent="0.35">
      <c r="B90" s="2" t="s">
        <v>219</v>
      </c>
      <c r="C90" s="2" t="s">
        <v>220</v>
      </c>
      <c r="D90" s="2" t="s">
        <v>6</v>
      </c>
      <c r="E90" s="2" t="s">
        <v>124</v>
      </c>
      <c r="F90" s="2" t="s">
        <v>221</v>
      </c>
      <c r="G90" s="2" t="s">
        <v>644</v>
      </c>
      <c r="H90" s="2" t="s">
        <v>222</v>
      </c>
      <c r="I90" s="2" t="s">
        <v>589</v>
      </c>
      <c r="K90" s="2" t="s">
        <v>593</v>
      </c>
      <c r="L90" s="2" t="s">
        <v>581</v>
      </c>
      <c r="N90" s="2" t="s">
        <v>581</v>
      </c>
      <c r="P90" s="2" t="s">
        <v>581</v>
      </c>
      <c r="R90" s="2" t="s">
        <v>581</v>
      </c>
      <c r="AB90" s="7"/>
    </row>
    <row r="91" spans="1:28" ht="16" x14ac:dyDescent="0.35">
      <c r="B91" s="2" t="s">
        <v>515</v>
      </c>
      <c r="C91" s="2" t="s">
        <v>516</v>
      </c>
      <c r="D91" s="2" t="s">
        <v>6</v>
      </c>
      <c r="E91" s="2" t="s">
        <v>517</v>
      </c>
      <c r="F91" s="2" t="s">
        <v>518</v>
      </c>
      <c r="G91" s="2" t="s">
        <v>644</v>
      </c>
      <c r="H91" s="2" t="s">
        <v>519</v>
      </c>
      <c r="I91" s="2" t="s">
        <v>588</v>
      </c>
      <c r="K91" s="2" t="s">
        <v>593</v>
      </c>
      <c r="L91" s="2" t="s">
        <v>581</v>
      </c>
      <c r="N91" s="2" t="s">
        <v>581</v>
      </c>
      <c r="P91" s="2" t="s">
        <v>581</v>
      </c>
      <c r="R91" s="2" t="s">
        <v>581</v>
      </c>
      <c r="AB91" s="7"/>
    </row>
    <row r="92" spans="1:28" ht="16" x14ac:dyDescent="0.35">
      <c r="B92" s="2" t="s">
        <v>457</v>
      </c>
      <c r="C92" s="2" t="s">
        <v>458</v>
      </c>
      <c r="D92" s="2" t="s">
        <v>6</v>
      </c>
      <c r="E92" s="2" t="s">
        <v>124</v>
      </c>
      <c r="F92" s="2" t="s">
        <v>459</v>
      </c>
      <c r="G92" s="2" t="s">
        <v>643</v>
      </c>
      <c r="H92" s="2" t="s">
        <v>460</v>
      </c>
      <c r="I92" s="2" t="s">
        <v>588</v>
      </c>
      <c r="K92" s="2" t="s">
        <v>590</v>
      </c>
      <c r="L92" s="2" t="s">
        <v>60</v>
      </c>
      <c r="N92" s="2" t="s">
        <v>581</v>
      </c>
      <c r="P92" s="2" t="s">
        <v>60</v>
      </c>
      <c r="R92" s="2" t="s">
        <v>581</v>
      </c>
      <c r="AB92" s="7"/>
    </row>
    <row r="93" spans="1:28" ht="16" x14ac:dyDescent="0.35">
      <c r="B93" s="2" t="s">
        <v>288</v>
      </c>
      <c r="C93" s="2" t="s">
        <v>289</v>
      </c>
      <c r="D93" s="2" t="s">
        <v>6</v>
      </c>
      <c r="E93" s="2" t="s">
        <v>124</v>
      </c>
      <c r="F93" s="2" t="s">
        <v>290</v>
      </c>
      <c r="G93" s="2" t="s">
        <v>644</v>
      </c>
      <c r="H93" s="2" t="s">
        <v>291</v>
      </c>
      <c r="I93" s="2" t="s">
        <v>589</v>
      </c>
      <c r="K93" s="2" t="s">
        <v>593</v>
      </c>
      <c r="L93" s="2" t="s">
        <v>60</v>
      </c>
      <c r="N93" s="2" t="s">
        <v>581</v>
      </c>
      <c r="P93" s="2" t="s">
        <v>581</v>
      </c>
      <c r="R93" s="2" t="s">
        <v>581</v>
      </c>
      <c r="AB93" s="7"/>
    </row>
    <row r="94" spans="1:28" ht="16" x14ac:dyDescent="0.35">
      <c r="B94" s="2" t="s">
        <v>511</v>
      </c>
      <c r="C94" s="2" t="s">
        <v>512</v>
      </c>
      <c r="D94" s="2" t="s">
        <v>21</v>
      </c>
      <c r="E94" s="2" t="s">
        <v>504</v>
      </c>
      <c r="F94" s="2" t="s">
        <v>513</v>
      </c>
      <c r="G94" s="2" t="s">
        <v>644</v>
      </c>
      <c r="H94" s="2" t="s">
        <v>514</v>
      </c>
      <c r="I94" s="2" t="s">
        <v>588</v>
      </c>
      <c r="K94" s="2" t="s">
        <v>593</v>
      </c>
      <c r="L94" s="2" t="s">
        <v>581</v>
      </c>
      <c r="N94" s="2" t="s">
        <v>581</v>
      </c>
      <c r="P94" s="2" t="s">
        <v>581</v>
      </c>
      <c r="R94" s="2" t="s">
        <v>581</v>
      </c>
      <c r="AB94" s="7"/>
    </row>
    <row r="95" spans="1:28" ht="16" x14ac:dyDescent="0.35">
      <c r="B95" s="2" t="s">
        <v>65</v>
      </c>
      <c r="C95" s="2" t="s">
        <v>66</v>
      </c>
      <c r="D95" s="2" t="s">
        <v>21</v>
      </c>
      <c r="E95" s="2" t="s">
        <v>62</v>
      </c>
      <c r="F95" s="2" t="s">
        <v>67</v>
      </c>
      <c r="G95" s="2" t="s">
        <v>644</v>
      </c>
      <c r="H95" s="2" t="s">
        <v>68</v>
      </c>
      <c r="I95" s="2" t="s">
        <v>588</v>
      </c>
      <c r="K95" s="2" t="s">
        <v>593</v>
      </c>
      <c r="L95" s="2" t="s">
        <v>60</v>
      </c>
      <c r="N95" s="2" t="s">
        <v>581</v>
      </c>
      <c r="P95" s="2" t="s">
        <v>581</v>
      </c>
      <c r="R95" s="2" t="s">
        <v>581</v>
      </c>
      <c r="AB95" s="7"/>
    </row>
    <row r="96" spans="1:28" ht="16" x14ac:dyDescent="0.35">
      <c r="A96" s="22">
        <v>46267</v>
      </c>
      <c r="B96" s="17" t="s">
        <v>4</v>
      </c>
      <c r="C96" s="17" t="s">
        <v>5</v>
      </c>
      <c r="D96" s="17" t="s">
        <v>6</v>
      </c>
      <c r="E96" s="17" t="s">
        <v>7</v>
      </c>
      <c r="F96" s="17" t="s">
        <v>8</v>
      </c>
      <c r="G96" s="17" t="s">
        <v>644</v>
      </c>
      <c r="H96" s="18" t="s">
        <v>9</v>
      </c>
      <c r="I96" s="17" t="s">
        <v>588</v>
      </c>
      <c r="J96" s="17"/>
      <c r="K96" s="17" t="s">
        <v>593</v>
      </c>
      <c r="L96" s="2" t="s">
        <v>60</v>
      </c>
      <c r="N96" s="2" t="s">
        <v>581</v>
      </c>
      <c r="P96" s="2" t="s">
        <v>581</v>
      </c>
      <c r="R96" s="2" t="s">
        <v>581</v>
      </c>
      <c r="AB96" s="7"/>
    </row>
    <row r="97" spans="1:28" ht="16" x14ac:dyDescent="0.35">
      <c r="A97" s="22">
        <v>46247</v>
      </c>
      <c r="B97" s="14" t="s">
        <v>101</v>
      </c>
      <c r="C97" s="14" t="s">
        <v>680</v>
      </c>
      <c r="D97" s="14" t="s">
        <v>21</v>
      </c>
      <c r="E97" s="14" t="s">
        <v>98</v>
      </c>
      <c r="F97" s="14" t="s">
        <v>99</v>
      </c>
      <c r="G97" s="14" t="s">
        <v>661</v>
      </c>
      <c r="H97" s="15" t="s">
        <v>102</v>
      </c>
      <c r="I97" s="14" t="s">
        <v>590</v>
      </c>
      <c r="J97" s="14" t="s">
        <v>681</v>
      </c>
      <c r="K97" s="14"/>
      <c r="L97" s="19" t="s">
        <v>60</v>
      </c>
      <c r="M97" s="2" t="s">
        <v>682</v>
      </c>
      <c r="N97" s="2" t="s">
        <v>60</v>
      </c>
      <c r="O97" s="2" t="s">
        <v>683</v>
      </c>
      <c r="P97" s="2" t="s">
        <v>60</v>
      </c>
      <c r="Q97" s="2" t="s">
        <v>684</v>
      </c>
      <c r="R97" s="2" t="s">
        <v>581</v>
      </c>
      <c r="AB97" s="7"/>
    </row>
    <row r="98" spans="1:28" ht="16" x14ac:dyDescent="0.35">
      <c r="B98" s="2" t="s">
        <v>145</v>
      </c>
      <c r="C98" s="2" t="s">
        <v>146</v>
      </c>
      <c r="D98" s="2" t="s">
        <v>6</v>
      </c>
      <c r="E98" s="2" t="s">
        <v>124</v>
      </c>
      <c r="F98" s="2" t="s">
        <v>147</v>
      </c>
      <c r="G98" s="2" t="s">
        <v>644</v>
      </c>
      <c r="H98" s="2" t="s">
        <v>148</v>
      </c>
      <c r="I98" s="2" t="s">
        <v>589</v>
      </c>
      <c r="K98" s="2" t="s">
        <v>593</v>
      </c>
      <c r="L98" s="2" t="s">
        <v>581</v>
      </c>
      <c r="N98" s="2" t="s">
        <v>581</v>
      </c>
      <c r="P98" s="2" t="s">
        <v>581</v>
      </c>
      <c r="R98" s="2" t="s">
        <v>581</v>
      </c>
      <c r="AB98" s="7"/>
    </row>
    <row r="99" spans="1:28" ht="16" x14ac:dyDescent="0.35">
      <c r="B99" s="2" t="s">
        <v>96</v>
      </c>
      <c r="C99" s="2" t="s">
        <v>97</v>
      </c>
      <c r="D99" s="2" t="s">
        <v>21</v>
      </c>
      <c r="E99" s="2" t="s">
        <v>98</v>
      </c>
      <c r="F99" s="2" t="s">
        <v>99</v>
      </c>
      <c r="G99" s="2" t="s">
        <v>644</v>
      </c>
      <c r="H99" s="2" t="s">
        <v>100</v>
      </c>
      <c r="I99" s="2" t="s">
        <v>588</v>
      </c>
      <c r="K99" s="2" t="s">
        <v>593</v>
      </c>
      <c r="L99" s="2" t="s">
        <v>581</v>
      </c>
      <c r="N99" s="2" t="s">
        <v>581</v>
      </c>
      <c r="P99" s="2" t="s">
        <v>581</v>
      </c>
      <c r="R99" s="2" t="s">
        <v>581</v>
      </c>
      <c r="AB99" s="7"/>
    </row>
    <row r="100" spans="1:28" ht="16" x14ac:dyDescent="0.35">
      <c r="B100" s="17" t="s">
        <v>31</v>
      </c>
      <c r="C100" s="17" t="s">
        <v>32</v>
      </c>
      <c r="D100" s="17" t="s">
        <v>21</v>
      </c>
      <c r="E100" s="17" t="s">
        <v>22</v>
      </c>
      <c r="F100" s="17" t="s">
        <v>574</v>
      </c>
      <c r="G100" s="17" t="s">
        <v>644</v>
      </c>
      <c r="H100" s="18" t="s">
        <v>33</v>
      </c>
      <c r="I100" s="17" t="s">
        <v>588</v>
      </c>
      <c r="J100" s="17"/>
      <c r="K100" s="17" t="s">
        <v>593</v>
      </c>
      <c r="L100" s="2" t="s">
        <v>60</v>
      </c>
      <c r="N100" s="2" t="s">
        <v>581</v>
      </c>
      <c r="P100" s="2" t="s">
        <v>581</v>
      </c>
      <c r="R100" s="2" t="s">
        <v>581</v>
      </c>
      <c r="AB100" s="7"/>
    </row>
    <row r="101" spans="1:28" ht="16" x14ac:dyDescent="0.35">
      <c r="B101" s="2" t="s">
        <v>231</v>
      </c>
      <c r="C101" s="2" t="s">
        <v>232</v>
      </c>
      <c r="D101" s="2" t="s">
        <v>6</v>
      </c>
      <c r="E101" s="2" t="s">
        <v>124</v>
      </c>
      <c r="F101" s="2" t="s">
        <v>233</v>
      </c>
      <c r="G101" s="2" t="s">
        <v>644</v>
      </c>
      <c r="H101" s="2" t="s">
        <v>234</v>
      </c>
      <c r="I101" s="2" t="s">
        <v>589</v>
      </c>
      <c r="K101" s="2" t="s">
        <v>182</v>
      </c>
      <c r="L101" s="2" t="s">
        <v>581</v>
      </c>
      <c r="N101" s="2" t="s">
        <v>581</v>
      </c>
      <c r="P101" s="2" t="s">
        <v>581</v>
      </c>
      <c r="R101" s="2" t="s">
        <v>581</v>
      </c>
      <c r="AB101" s="7"/>
    </row>
    <row r="102" spans="1:28" ht="16" x14ac:dyDescent="0.35">
      <c r="B102" s="2" t="s">
        <v>251</v>
      </c>
      <c r="C102" s="2" t="s">
        <v>252</v>
      </c>
      <c r="D102" s="2" t="s">
        <v>6</v>
      </c>
      <c r="E102" s="2" t="s">
        <v>124</v>
      </c>
      <c r="F102" s="2" t="s">
        <v>253</v>
      </c>
      <c r="G102" s="2" t="s">
        <v>644</v>
      </c>
      <c r="H102" s="2" t="s">
        <v>254</v>
      </c>
      <c r="I102" s="2" t="s">
        <v>589</v>
      </c>
      <c r="K102" s="2" t="s">
        <v>593</v>
      </c>
      <c r="L102" s="2" t="s">
        <v>581</v>
      </c>
      <c r="N102" s="2" t="s">
        <v>581</v>
      </c>
      <c r="P102" s="2" t="s">
        <v>581</v>
      </c>
      <c r="R102" s="2" t="s">
        <v>581</v>
      </c>
      <c r="AB102" s="7"/>
    </row>
    <row r="103" spans="1:28" ht="16" x14ac:dyDescent="0.35">
      <c r="B103" s="2" t="s">
        <v>207</v>
      </c>
      <c r="C103" s="2" t="s">
        <v>208</v>
      </c>
      <c r="D103" s="2" t="s">
        <v>6</v>
      </c>
      <c r="E103" s="2" t="s">
        <v>124</v>
      </c>
      <c r="F103" s="2" t="s">
        <v>209</v>
      </c>
      <c r="G103" s="2" t="s">
        <v>644</v>
      </c>
      <c r="H103" s="2" t="s">
        <v>210</v>
      </c>
      <c r="I103" s="2" t="s">
        <v>589</v>
      </c>
      <c r="K103" s="2" t="s">
        <v>593</v>
      </c>
      <c r="L103" s="2" t="s">
        <v>581</v>
      </c>
      <c r="N103" s="2" t="s">
        <v>581</v>
      </c>
      <c r="P103" s="2" t="s">
        <v>581</v>
      </c>
      <c r="R103" s="2" t="s">
        <v>581</v>
      </c>
      <c r="AB103" s="7"/>
    </row>
    <row r="104" spans="1:28" ht="16" x14ac:dyDescent="0.35">
      <c r="A104" s="22">
        <v>46245</v>
      </c>
      <c r="B104" s="14" t="s">
        <v>49</v>
      </c>
      <c r="C104" s="14" t="s">
        <v>670</v>
      </c>
      <c r="D104" s="14" t="s">
        <v>21</v>
      </c>
      <c r="E104" s="14" t="s">
        <v>50</v>
      </c>
      <c r="F104" s="14" t="s">
        <v>51</v>
      </c>
      <c r="G104" s="14" t="s">
        <v>661</v>
      </c>
      <c r="H104" s="15" t="s">
        <v>52</v>
      </c>
      <c r="I104" s="14" t="s">
        <v>590</v>
      </c>
      <c r="J104" s="14" t="s">
        <v>671</v>
      </c>
      <c r="K104" s="14" t="s">
        <v>589</v>
      </c>
      <c r="L104" s="19" t="s">
        <v>60</v>
      </c>
      <c r="N104" s="2" t="s">
        <v>60</v>
      </c>
      <c r="O104" s="2" t="s">
        <v>672</v>
      </c>
      <c r="P104" s="2" t="s">
        <v>60</v>
      </c>
      <c r="Q104" s="2" t="s">
        <v>673</v>
      </c>
      <c r="R104" s="2" t="s">
        <v>581</v>
      </c>
      <c r="AB104" s="7"/>
    </row>
    <row r="105" spans="1:28" ht="16" x14ac:dyDescent="0.35">
      <c r="A105" s="22">
        <v>46246</v>
      </c>
      <c r="B105" s="14" t="s">
        <v>658</v>
      </c>
      <c r="C105" s="14" t="s">
        <v>659</v>
      </c>
      <c r="D105" s="14" t="s">
        <v>6</v>
      </c>
      <c r="E105" s="14" t="s">
        <v>7</v>
      </c>
      <c r="F105" s="14" t="s">
        <v>660</v>
      </c>
      <c r="G105" s="14" t="s">
        <v>661</v>
      </c>
      <c r="H105" s="15" t="s">
        <v>645</v>
      </c>
      <c r="I105" s="14" t="s">
        <v>590</v>
      </c>
      <c r="J105" s="14" t="s">
        <v>662</v>
      </c>
      <c r="K105" s="14" t="s">
        <v>588</v>
      </c>
      <c r="L105" s="2" t="s">
        <v>60</v>
      </c>
      <c r="M105" s="2" t="s">
        <v>663</v>
      </c>
      <c r="N105" s="2" t="s">
        <v>60</v>
      </c>
      <c r="O105" s="2" t="s">
        <v>664</v>
      </c>
      <c r="P105" s="2" t="s">
        <v>60</v>
      </c>
      <c r="Q105" s="2" t="s">
        <v>665</v>
      </c>
      <c r="R105" s="2" t="s">
        <v>581</v>
      </c>
      <c r="AB105" s="7"/>
    </row>
    <row r="106" spans="1:28" ht="16" x14ac:dyDescent="0.35">
      <c r="A106" s="22">
        <v>46238</v>
      </c>
      <c r="B106" s="12" t="s">
        <v>122</v>
      </c>
      <c r="C106" s="12" t="s">
        <v>123</v>
      </c>
      <c r="D106" s="12" t="s">
        <v>6</v>
      </c>
      <c r="E106" s="12" t="s">
        <v>124</v>
      </c>
      <c r="F106" s="12" t="s">
        <v>125</v>
      </c>
      <c r="G106" s="12" t="s">
        <v>632</v>
      </c>
      <c r="H106" s="16" t="s">
        <v>126</v>
      </c>
      <c r="I106" s="12" t="s">
        <v>589</v>
      </c>
      <c r="J106" s="12"/>
      <c r="K106" s="12" t="s">
        <v>593</v>
      </c>
      <c r="L106" s="2" t="s">
        <v>60</v>
      </c>
      <c r="N106" s="2" t="s">
        <v>581</v>
      </c>
      <c r="P106" s="2" t="s">
        <v>581</v>
      </c>
      <c r="R106" s="2" t="s">
        <v>581</v>
      </c>
      <c r="AB106" s="7"/>
    </row>
    <row r="107" spans="1:28" ht="16" x14ac:dyDescent="0.35">
      <c r="A107" s="22">
        <v>46235</v>
      </c>
      <c r="B107" s="2" t="s">
        <v>130</v>
      </c>
      <c r="C107" s="2" t="s">
        <v>131</v>
      </c>
      <c r="D107" s="2" t="s">
        <v>6</v>
      </c>
      <c r="E107" s="2" t="s">
        <v>124</v>
      </c>
      <c r="F107" s="2" t="s">
        <v>132</v>
      </c>
      <c r="G107" s="2" t="s">
        <v>632</v>
      </c>
      <c r="H107" s="3" t="s">
        <v>126</v>
      </c>
      <c r="I107" s="2" t="s">
        <v>588</v>
      </c>
      <c r="K107" s="2" t="s">
        <v>594</v>
      </c>
      <c r="L107" s="2" t="s">
        <v>60</v>
      </c>
      <c r="N107" s="2" t="s">
        <v>581</v>
      </c>
      <c r="P107" s="2" t="s">
        <v>60</v>
      </c>
      <c r="R107" s="2" t="s">
        <v>581</v>
      </c>
      <c r="AB107" s="7"/>
    </row>
    <row r="108" spans="1:28" ht="16" x14ac:dyDescent="0.35">
      <c r="A108" s="22">
        <v>46262</v>
      </c>
      <c r="B108" s="12" t="s">
        <v>358</v>
      </c>
      <c r="C108" s="12" t="s">
        <v>359</v>
      </c>
      <c r="D108" s="12" t="s">
        <v>6</v>
      </c>
      <c r="E108" s="12" t="s">
        <v>124</v>
      </c>
      <c r="F108" s="12" t="s">
        <v>360</v>
      </c>
      <c r="G108" s="12" t="s">
        <v>644</v>
      </c>
      <c r="H108" s="16" t="s">
        <v>361</v>
      </c>
      <c r="I108" s="12" t="s">
        <v>589</v>
      </c>
      <c r="J108" s="12"/>
      <c r="K108" s="12" t="s">
        <v>593</v>
      </c>
      <c r="L108" s="2" t="s">
        <v>60</v>
      </c>
      <c r="N108" s="2" t="s">
        <v>581</v>
      </c>
      <c r="P108" s="2" t="s">
        <v>581</v>
      </c>
      <c r="R108" s="2" t="s">
        <v>581</v>
      </c>
      <c r="AB108" s="7"/>
    </row>
    <row r="109" spans="1:28" ht="16" x14ac:dyDescent="0.35">
      <c r="B109" s="2" t="s">
        <v>243</v>
      </c>
      <c r="C109" s="2" t="s">
        <v>244</v>
      </c>
      <c r="D109" s="2" t="s">
        <v>6</v>
      </c>
      <c r="E109" s="2" t="s">
        <v>124</v>
      </c>
      <c r="F109" s="2" t="s">
        <v>245</v>
      </c>
      <c r="G109" s="2" t="s">
        <v>644</v>
      </c>
      <c r="H109" s="2" t="s">
        <v>246</v>
      </c>
      <c r="I109" s="2" t="s">
        <v>589</v>
      </c>
      <c r="K109" s="2" t="s">
        <v>593</v>
      </c>
      <c r="L109" s="2" t="s">
        <v>581</v>
      </c>
      <c r="N109" s="2" t="s">
        <v>581</v>
      </c>
      <c r="P109" s="2" t="s">
        <v>581</v>
      </c>
      <c r="R109" s="2" t="s">
        <v>581</v>
      </c>
      <c r="AB109" s="7"/>
    </row>
    <row r="110" spans="1:28" ht="16" x14ac:dyDescent="0.35">
      <c r="B110" s="2" t="s">
        <v>296</v>
      </c>
      <c r="C110" s="2" t="s">
        <v>297</v>
      </c>
      <c r="D110" s="2" t="s">
        <v>6</v>
      </c>
      <c r="E110" s="2" t="s">
        <v>124</v>
      </c>
      <c r="F110" s="2" t="s">
        <v>298</v>
      </c>
      <c r="G110" s="2" t="s">
        <v>644</v>
      </c>
      <c r="H110" s="2" t="s">
        <v>299</v>
      </c>
      <c r="I110" s="2" t="s">
        <v>588</v>
      </c>
      <c r="K110" s="2" t="s">
        <v>593</v>
      </c>
      <c r="L110" s="2" t="s">
        <v>60</v>
      </c>
      <c r="N110" s="2" t="s">
        <v>581</v>
      </c>
      <c r="P110" s="2" t="s">
        <v>581</v>
      </c>
      <c r="R110" s="2" t="s">
        <v>581</v>
      </c>
      <c r="AB110" s="7"/>
    </row>
    <row r="111" spans="1:28" ht="16" x14ac:dyDescent="0.35">
      <c r="B111" s="20"/>
      <c r="C111" s="20"/>
      <c r="D111" s="20"/>
      <c r="E111" s="20" t="s">
        <v>124</v>
      </c>
      <c r="F111" s="20" t="s">
        <v>654</v>
      </c>
      <c r="G111" s="20"/>
      <c r="H111" s="20" t="s">
        <v>655</v>
      </c>
      <c r="I111" s="20"/>
      <c r="J111" s="20"/>
      <c r="K111" s="20"/>
      <c r="AB111" s="7"/>
    </row>
    <row r="112" spans="1:28" ht="16" x14ac:dyDescent="0.35">
      <c r="A112" s="22">
        <v>46287</v>
      </c>
      <c r="B112" s="17" t="s">
        <v>405</v>
      </c>
      <c r="C112" s="17" t="s">
        <v>406</v>
      </c>
      <c r="D112" s="17" t="s">
        <v>6</v>
      </c>
      <c r="E112" s="17" t="s">
        <v>124</v>
      </c>
      <c r="F112" s="17" t="s">
        <v>407</v>
      </c>
      <c r="G112" s="17" t="s">
        <v>644</v>
      </c>
      <c r="H112" s="18" t="s">
        <v>408</v>
      </c>
      <c r="I112" s="17" t="s">
        <v>589</v>
      </c>
      <c r="J112" s="17"/>
      <c r="K112" s="17" t="s">
        <v>593</v>
      </c>
      <c r="L112" s="2" t="s">
        <v>581</v>
      </c>
      <c r="N112" s="2" t="s">
        <v>581</v>
      </c>
      <c r="P112" s="2" t="s">
        <v>581</v>
      </c>
      <c r="R112" s="2" t="s">
        <v>581</v>
      </c>
      <c r="AB112" s="7"/>
    </row>
    <row r="113" spans="1:28" ht="16" x14ac:dyDescent="0.35">
      <c r="B113" s="2" t="s">
        <v>276</v>
      </c>
      <c r="C113" s="2" t="s">
        <v>277</v>
      </c>
      <c r="D113" s="2" t="s">
        <v>6</v>
      </c>
      <c r="E113" s="2" t="s">
        <v>124</v>
      </c>
      <c r="F113" s="2" t="s">
        <v>278</v>
      </c>
      <c r="G113" s="2" t="s">
        <v>644</v>
      </c>
      <c r="H113" s="2" t="s">
        <v>279</v>
      </c>
      <c r="I113" s="2" t="s">
        <v>588</v>
      </c>
      <c r="K113" s="2" t="s">
        <v>593</v>
      </c>
      <c r="L113" s="2" t="s">
        <v>581</v>
      </c>
      <c r="N113" s="2" t="s">
        <v>581</v>
      </c>
      <c r="P113" s="2" t="s">
        <v>581</v>
      </c>
      <c r="R113" s="2" t="s">
        <v>581</v>
      </c>
      <c r="AB113" s="7"/>
    </row>
    <row r="114" spans="1:28" ht="16" x14ac:dyDescent="0.35">
      <c r="B114" s="20" t="s">
        <v>268</v>
      </c>
      <c r="C114" s="20" t="s">
        <v>269</v>
      </c>
      <c r="D114" s="20" t="s">
        <v>6</v>
      </c>
      <c r="E114" s="20" t="s">
        <v>124</v>
      </c>
      <c r="F114" s="20" t="s">
        <v>270</v>
      </c>
      <c r="G114" s="20" t="s">
        <v>644</v>
      </c>
      <c r="H114" s="20" t="s">
        <v>271</v>
      </c>
      <c r="I114" s="20" t="s">
        <v>588</v>
      </c>
      <c r="J114" s="20"/>
      <c r="K114" s="20" t="s">
        <v>593</v>
      </c>
      <c r="L114" s="2" t="s">
        <v>581</v>
      </c>
      <c r="N114" s="2" t="s">
        <v>581</v>
      </c>
      <c r="P114" s="2" t="s">
        <v>581</v>
      </c>
      <c r="R114" s="2" t="s">
        <v>581</v>
      </c>
      <c r="AB114" s="7"/>
    </row>
    <row r="115" spans="1:28" ht="16" x14ac:dyDescent="0.35">
      <c r="B115" s="2" t="s">
        <v>502</v>
      </c>
      <c r="C115" s="2" t="s">
        <v>503</v>
      </c>
      <c r="D115" s="2" t="s">
        <v>21</v>
      </c>
      <c r="E115" s="2" t="s">
        <v>504</v>
      </c>
      <c r="F115" s="2" t="s">
        <v>505</v>
      </c>
      <c r="G115" s="2" t="s">
        <v>644</v>
      </c>
      <c r="H115" s="2" t="s">
        <v>506</v>
      </c>
      <c r="I115" s="2" t="s">
        <v>588</v>
      </c>
      <c r="K115" s="2" t="s">
        <v>593</v>
      </c>
      <c r="L115" s="2" t="s">
        <v>581</v>
      </c>
      <c r="N115" s="2" t="s">
        <v>581</v>
      </c>
      <c r="P115" s="2" t="s">
        <v>581</v>
      </c>
      <c r="R115" s="2" t="s">
        <v>581</v>
      </c>
      <c r="AB115" s="7"/>
    </row>
    <row r="116" spans="1:28" ht="16" x14ac:dyDescent="0.35">
      <c r="A116" s="22">
        <v>46260</v>
      </c>
      <c r="B116" s="12" t="s">
        <v>327</v>
      </c>
      <c r="C116" s="12" t="s">
        <v>328</v>
      </c>
      <c r="D116" s="12" t="s">
        <v>6</v>
      </c>
      <c r="E116" s="12" t="s">
        <v>124</v>
      </c>
      <c r="F116" s="12" t="s">
        <v>329</v>
      </c>
      <c r="G116" s="12" t="s">
        <v>644</v>
      </c>
      <c r="H116" s="16" t="s">
        <v>330</v>
      </c>
      <c r="I116" s="12" t="s">
        <v>589</v>
      </c>
      <c r="J116" s="12"/>
      <c r="K116" s="12" t="s">
        <v>593</v>
      </c>
      <c r="L116" s="2" t="s">
        <v>581</v>
      </c>
      <c r="N116" s="2" t="s">
        <v>581</v>
      </c>
      <c r="P116" s="2" t="s">
        <v>581</v>
      </c>
      <c r="R116" s="2" t="s">
        <v>581</v>
      </c>
      <c r="AB116" s="7"/>
    </row>
    <row r="117" spans="1:28" ht="16" x14ac:dyDescent="0.35">
      <c r="B117" s="2" t="s">
        <v>77</v>
      </c>
      <c r="C117" s="2" t="s">
        <v>78</v>
      </c>
      <c r="D117" s="2" t="s">
        <v>6</v>
      </c>
      <c r="E117" s="2" t="s">
        <v>71</v>
      </c>
      <c r="F117" s="2" t="s">
        <v>282</v>
      </c>
      <c r="G117" s="2" t="s">
        <v>644</v>
      </c>
      <c r="H117" s="2" t="s">
        <v>79</v>
      </c>
      <c r="I117" s="2" t="s">
        <v>588</v>
      </c>
      <c r="K117" s="2" t="s">
        <v>593</v>
      </c>
      <c r="L117" s="2" t="s">
        <v>581</v>
      </c>
      <c r="N117" s="2" t="s">
        <v>581</v>
      </c>
      <c r="P117" s="2" t="s">
        <v>581</v>
      </c>
      <c r="R117" s="2" t="s">
        <v>581</v>
      </c>
      <c r="AB117" s="7"/>
    </row>
    <row r="118" spans="1:28" ht="16" x14ac:dyDescent="0.35">
      <c r="B118" s="2" t="s">
        <v>546</v>
      </c>
      <c r="C118" s="2" t="s">
        <v>547</v>
      </c>
      <c r="D118" s="2" t="s">
        <v>21</v>
      </c>
      <c r="E118" s="2" t="s">
        <v>539</v>
      </c>
      <c r="F118" s="2" t="s">
        <v>548</v>
      </c>
      <c r="G118" s="2" t="s">
        <v>644</v>
      </c>
      <c r="H118" s="2" t="s">
        <v>549</v>
      </c>
      <c r="I118" s="2" t="s">
        <v>588</v>
      </c>
      <c r="K118" s="2" t="s">
        <v>593</v>
      </c>
      <c r="L118" s="2" t="s">
        <v>60</v>
      </c>
      <c r="N118" s="2" t="s">
        <v>581</v>
      </c>
      <c r="P118" s="2" t="s">
        <v>581</v>
      </c>
      <c r="R118" s="2" t="s">
        <v>581</v>
      </c>
      <c r="AB118" s="7"/>
    </row>
    <row r="119" spans="1:28" ht="16" x14ac:dyDescent="0.35">
      <c r="A119" s="22">
        <v>46260</v>
      </c>
      <c r="B119" s="12" t="s">
        <v>343</v>
      </c>
      <c r="C119" s="12" t="s">
        <v>344</v>
      </c>
      <c r="D119" s="12" t="s">
        <v>6</v>
      </c>
      <c r="E119" s="12" t="s">
        <v>124</v>
      </c>
      <c r="F119" s="12" t="s">
        <v>345</v>
      </c>
      <c r="G119" s="12" t="s">
        <v>644</v>
      </c>
      <c r="H119" s="16" t="s">
        <v>346</v>
      </c>
      <c r="I119" s="12" t="s">
        <v>589</v>
      </c>
      <c r="J119" s="12"/>
      <c r="K119" s="12" t="s">
        <v>593</v>
      </c>
      <c r="L119" s="2" t="s">
        <v>60</v>
      </c>
      <c r="N119" s="2" t="s">
        <v>581</v>
      </c>
      <c r="P119" s="2" t="s">
        <v>581</v>
      </c>
      <c r="R119" s="2" t="s">
        <v>581</v>
      </c>
      <c r="AB119" s="7"/>
    </row>
    <row r="120" spans="1:28" ht="16" x14ac:dyDescent="0.35">
      <c r="B120" s="2" t="s">
        <v>409</v>
      </c>
      <c r="C120" s="2" t="s">
        <v>410</v>
      </c>
      <c r="D120" s="2" t="s">
        <v>6</v>
      </c>
      <c r="E120" s="2" t="s">
        <v>124</v>
      </c>
      <c r="F120" s="2" t="s">
        <v>411</v>
      </c>
      <c r="G120" s="2" t="s">
        <v>644</v>
      </c>
      <c r="H120" s="2" t="s">
        <v>412</v>
      </c>
      <c r="I120" s="2" t="s">
        <v>589</v>
      </c>
      <c r="K120" s="2" t="s">
        <v>593</v>
      </c>
      <c r="L120" s="2" t="s">
        <v>581</v>
      </c>
      <c r="N120" s="2" t="s">
        <v>581</v>
      </c>
      <c r="P120" s="2" t="s">
        <v>581</v>
      </c>
      <c r="R120" s="2" t="s">
        <v>581</v>
      </c>
      <c r="AB120" s="7"/>
    </row>
    <row r="121" spans="1:28" ht="16" x14ac:dyDescent="0.35">
      <c r="B121" s="2" t="s">
        <v>520</v>
      </c>
      <c r="C121" s="2" t="s">
        <v>521</v>
      </c>
      <c r="D121" s="2" t="s">
        <v>21</v>
      </c>
      <c r="E121" s="2" t="s">
        <v>522</v>
      </c>
      <c r="F121" s="2" t="s">
        <v>523</v>
      </c>
      <c r="G121" s="2" t="s">
        <v>644</v>
      </c>
      <c r="H121" s="2" t="s">
        <v>524</v>
      </c>
      <c r="I121" s="2" t="s">
        <v>588</v>
      </c>
      <c r="K121" s="2" t="s">
        <v>593</v>
      </c>
      <c r="L121" s="2" t="s">
        <v>60</v>
      </c>
      <c r="N121" s="2" t="s">
        <v>581</v>
      </c>
      <c r="P121" s="2" t="s">
        <v>581</v>
      </c>
      <c r="R121" s="2" t="s">
        <v>581</v>
      </c>
      <c r="AB121" s="7"/>
    </row>
    <row r="122" spans="1:28" ht="16" x14ac:dyDescent="0.35">
      <c r="B122" s="2" t="s">
        <v>227</v>
      </c>
      <c r="C122" s="2" t="s">
        <v>228</v>
      </c>
      <c r="D122" s="2" t="s">
        <v>6</v>
      </c>
      <c r="E122" s="2" t="s">
        <v>124</v>
      </c>
      <c r="F122" s="2" t="s">
        <v>229</v>
      </c>
      <c r="G122" s="2" t="s">
        <v>644</v>
      </c>
      <c r="H122" s="2" t="s">
        <v>230</v>
      </c>
      <c r="I122" s="2" t="s">
        <v>589</v>
      </c>
      <c r="K122" s="2" t="s">
        <v>593</v>
      </c>
      <c r="L122" s="2" t="s">
        <v>581</v>
      </c>
      <c r="N122" s="2" t="s">
        <v>581</v>
      </c>
      <c r="P122" s="2" t="s">
        <v>581</v>
      </c>
      <c r="R122" s="2" t="s">
        <v>581</v>
      </c>
      <c r="AB122" s="7"/>
    </row>
    <row r="123" spans="1:28" ht="16" x14ac:dyDescent="0.35">
      <c r="A123" s="22">
        <v>46247</v>
      </c>
      <c r="B123" s="2" t="s">
        <v>53</v>
      </c>
      <c r="C123" s="2" t="s">
        <v>54</v>
      </c>
      <c r="D123" s="2" t="s">
        <v>21</v>
      </c>
      <c r="E123" s="2" t="s">
        <v>50</v>
      </c>
      <c r="F123" s="2" t="s">
        <v>55</v>
      </c>
      <c r="G123" s="2" t="s">
        <v>644</v>
      </c>
      <c r="H123" s="2" t="s">
        <v>27</v>
      </c>
      <c r="I123" s="2" t="s">
        <v>588</v>
      </c>
      <c r="K123" s="2" t="s">
        <v>593</v>
      </c>
      <c r="L123" s="2" t="s">
        <v>60</v>
      </c>
      <c r="N123" s="2" t="s">
        <v>581</v>
      </c>
      <c r="P123" s="2" t="s">
        <v>581</v>
      </c>
      <c r="R123" s="2" t="s">
        <v>581</v>
      </c>
      <c r="AB123" s="7"/>
    </row>
    <row r="124" spans="1:28" ht="16" x14ac:dyDescent="0.35">
      <c r="A124" s="23">
        <v>46275</v>
      </c>
      <c r="B124" s="17" t="s">
        <v>56</v>
      </c>
      <c r="C124" s="17" t="s">
        <v>57</v>
      </c>
      <c r="D124" s="17" t="s">
        <v>21</v>
      </c>
      <c r="E124" s="17" t="s">
        <v>58</v>
      </c>
      <c r="F124" s="17" t="s">
        <v>59</v>
      </c>
      <c r="G124" s="17" t="s">
        <v>644</v>
      </c>
      <c r="H124" s="18" t="s">
        <v>27</v>
      </c>
      <c r="I124" s="17" t="s">
        <v>588</v>
      </c>
      <c r="J124" s="17"/>
      <c r="K124" s="17" t="s">
        <v>593</v>
      </c>
      <c r="L124" s="2" t="s">
        <v>60</v>
      </c>
      <c r="N124" s="2" t="s">
        <v>581</v>
      </c>
      <c r="P124" s="2" t="s">
        <v>60</v>
      </c>
      <c r="R124" s="2" t="s">
        <v>581</v>
      </c>
      <c r="AB124" s="7"/>
    </row>
    <row r="125" spans="1:28" ht="16" x14ac:dyDescent="0.35">
      <c r="B125" s="17" t="s">
        <v>41</v>
      </c>
      <c r="C125" s="17" t="s">
        <v>42</v>
      </c>
      <c r="D125" s="17" t="s">
        <v>21</v>
      </c>
      <c r="E125" s="17" t="s">
        <v>22</v>
      </c>
      <c r="F125" s="17" t="s">
        <v>39</v>
      </c>
      <c r="G125" s="17" t="s">
        <v>644</v>
      </c>
      <c r="H125" s="18" t="s">
        <v>27</v>
      </c>
      <c r="I125" s="17" t="s">
        <v>588</v>
      </c>
      <c r="J125" s="17"/>
      <c r="K125" s="17" t="s">
        <v>593</v>
      </c>
      <c r="L125" s="2" t="s">
        <v>60</v>
      </c>
      <c r="N125" s="2" t="s">
        <v>581</v>
      </c>
      <c r="P125" s="2" t="s">
        <v>581</v>
      </c>
      <c r="R125" s="2" t="s">
        <v>581</v>
      </c>
      <c r="AB125" s="7"/>
    </row>
    <row r="126" spans="1:28" ht="16" x14ac:dyDescent="0.35">
      <c r="B126" s="2" t="s">
        <v>90</v>
      </c>
      <c r="C126" s="2" t="s">
        <v>91</v>
      </c>
      <c r="D126" s="2" t="s">
        <v>21</v>
      </c>
      <c r="E126" s="2" t="s">
        <v>83</v>
      </c>
      <c r="F126" s="2" t="s">
        <v>92</v>
      </c>
      <c r="G126" s="2" t="s">
        <v>644</v>
      </c>
      <c r="H126" s="2" t="s">
        <v>27</v>
      </c>
      <c r="I126" s="2" t="s">
        <v>589</v>
      </c>
      <c r="K126" s="2" t="s">
        <v>593</v>
      </c>
      <c r="L126" s="2" t="s">
        <v>581</v>
      </c>
      <c r="N126" s="2" t="s">
        <v>581</v>
      </c>
      <c r="P126" s="2" t="s">
        <v>581</v>
      </c>
      <c r="R126" s="2" t="s">
        <v>581</v>
      </c>
      <c r="AB126" s="7"/>
    </row>
    <row r="127" spans="1:28" ht="16" x14ac:dyDescent="0.35">
      <c r="B127" s="20" t="s">
        <v>93</v>
      </c>
      <c r="C127" s="20" t="s">
        <v>94</v>
      </c>
      <c r="D127" s="20" t="s">
        <v>21</v>
      </c>
      <c r="E127" s="20" t="s">
        <v>83</v>
      </c>
      <c r="F127" s="20" t="s">
        <v>95</v>
      </c>
      <c r="G127" s="20" t="s">
        <v>644</v>
      </c>
      <c r="H127" s="20" t="s">
        <v>27</v>
      </c>
      <c r="I127" s="20" t="s">
        <v>589</v>
      </c>
      <c r="J127" s="20"/>
      <c r="K127" s="20" t="s">
        <v>593</v>
      </c>
      <c r="L127" s="2" t="s">
        <v>60</v>
      </c>
      <c r="N127" s="2" t="s">
        <v>581</v>
      </c>
      <c r="P127" s="2" t="s">
        <v>581</v>
      </c>
      <c r="R127" s="2" t="s">
        <v>581</v>
      </c>
      <c r="AB127" s="7"/>
    </row>
    <row r="128" spans="1:28" ht="16" x14ac:dyDescent="0.35">
      <c r="B128" s="2" t="s">
        <v>103</v>
      </c>
      <c r="C128" s="2" t="s">
        <v>104</v>
      </c>
      <c r="D128" s="2" t="s">
        <v>21</v>
      </c>
      <c r="E128" s="2" t="s">
        <v>98</v>
      </c>
      <c r="F128" s="2" t="s">
        <v>99</v>
      </c>
      <c r="G128" s="2" t="s">
        <v>644</v>
      </c>
      <c r="H128" s="2" t="s">
        <v>27</v>
      </c>
      <c r="I128" s="2" t="s">
        <v>589</v>
      </c>
      <c r="K128" s="2" t="s">
        <v>593</v>
      </c>
      <c r="L128" s="2" t="s">
        <v>581</v>
      </c>
      <c r="N128" s="2" t="s">
        <v>581</v>
      </c>
      <c r="P128" s="2" t="s">
        <v>581</v>
      </c>
      <c r="R128" s="2" t="s">
        <v>581</v>
      </c>
      <c r="AB128" s="7"/>
    </row>
    <row r="129" spans="1:28" ht="16" x14ac:dyDescent="0.35">
      <c r="B129" s="2" t="s">
        <v>496</v>
      </c>
      <c r="C129" s="2" t="s">
        <v>497</v>
      </c>
      <c r="D129" s="2" t="s">
        <v>21</v>
      </c>
      <c r="E129" s="2" t="s">
        <v>498</v>
      </c>
      <c r="F129" s="2" t="s">
        <v>499</v>
      </c>
      <c r="G129" s="2" t="s">
        <v>644</v>
      </c>
      <c r="H129" s="2" t="s">
        <v>27</v>
      </c>
      <c r="I129" s="2" t="s">
        <v>589</v>
      </c>
      <c r="K129" s="2" t="s">
        <v>593</v>
      </c>
      <c r="L129" s="2" t="s">
        <v>581</v>
      </c>
      <c r="N129" s="2" t="s">
        <v>581</v>
      </c>
      <c r="P129" s="2" t="s">
        <v>581</v>
      </c>
      <c r="R129" s="2" t="s">
        <v>581</v>
      </c>
      <c r="AB129" s="7"/>
    </row>
    <row r="130" spans="1:28" ht="16" x14ac:dyDescent="0.35">
      <c r="A130" s="21">
        <v>46247</v>
      </c>
      <c r="B130" s="14" t="s">
        <v>500</v>
      </c>
      <c r="C130" s="14" t="s">
        <v>691</v>
      </c>
      <c r="D130" s="14" t="s">
        <v>21</v>
      </c>
      <c r="E130" s="14" t="s">
        <v>498</v>
      </c>
      <c r="F130" s="14" t="s">
        <v>501</v>
      </c>
      <c r="G130" s="14" t="s">
        <v>661</v>
      </c>
      <c r="H130" s="14" t="s">
        <v>27</v>
      </c>
      <c r="I130" s="14" t="s">
        <v>590</v>
      </c>
      <c r="J130" s="14" t="s">
        <v>692</v>
      </c>
      <c r="K130" s="14" t="s">
        <v>589</v>
      </c>
      <c r="L130" s="19" t="s">
        <v>60</v>
      </c>
      <c r="M130" s="2" t="s">
        <v>693</v>
      </c>
      <c r="N130" s="2" t="s">
        <v>60</v>
      </c>
      <c r="O130" s="2" t="s">
        <v>694</v>
      </c>
      <c r="P130" s="2" t="s">
        <v>60</v>
      </c>
      <c r="Q130" s="2" t="s">
        <v>695</v>
      </c>
      <c r="R130" s="2" t="s">
        <v>581</v>
      </c>
      <c r="AB130" s="7"/>
    </row>
    <row r="131" spans="1:28" ht="16" x14ac:dyDescent="0.35">
      <c r="B131" s="2" t="s">
        <v>529</v>
      </c>
      <c r="C131" s="2" t="s">
        <v>530</v>
      </c>
      <c r="D131" s="2" t="s">
        <v>6</v>
      </c>
      <c r="E131" s="2" t="s">
        <v>527</v>
      </c>
      <c r="F131" s="2" t="s">
        <v>531</v>
      </c>
      <c r="G131" s="2" t="s">
        <v>644</v>
      </c>
      <c r="H131" s="2" t="s">
        <v>532</v>
      </c>
      <c r="I131" s="2" t="s">
        <v>589</v>
      </c>
      <c r="K131" s="2" t="s">
        <v>593</v>
      </c>
      <c r="L131" s="2" t="s">
        <v>581</v>
      </c>
      <c r="N131" s="2" t="s">
        <v>581</v>
      </c>
      <c r="P131" s="2" t="s">
        <v>581</v>
      </c>
      <c r="R131" s="2" t="s">
        <v>581</v>
      </c>
      <c r="AB131" s="7"/>
    </row>
    <row r="132" spans="1:28" ht="16" x14ac:dyDescent="0.35">
      <c r="B132" s="2" t="s">
        <v>461</v>
      </c>
      <c r="C132" s="2" t="s">
        <v>462</v>
      </c>
      <c r="D132" s="2" t="s">
        <v>6</v>
      </c>
      <c r="E132" s="2" t="s">
        <v>124</v>
      </c>
      <c r="F132" s="2" t="s">
        <v>459</v>
      </c>
      <c r="G132" s="2" t="s">
        <v>644</v>
      </c>
      <c r="H132" s="2" t="s">
        <v>463</v>
      </c>
      <c r="I132" s="2" t="s">
        <v>590</v>
      </c>
      <c r="K132" s="2" t="s">
        <v>590</v>
      </c>
      <c r="L132" s="2" t="s">
        <v>60</v>
      </c>
      <c r="N132" s="2" t="s">
        <v>581</v>
      </c>
      <c r="P132" s="2" t="s">
        <v>60</v>
      </c>
      <c r="R132" s="2" t="s">
        <v>581</v>
      </c>
      <c r="AB132" s="7"/>
    </row>
    <row r="133" spans="1:28" ht="16" x14ac:dyDescent="0.35">
      <c r="B133" s="2" t="s">
        <v>259</v>
      </c>
      <c r="C133" s="2" t="s">
        <v>260</v>
      </c>
      <c r="D133" s="2" t="s">
        <v>6</v>
      </c>
      <c r="E133" s="2" t="s">
        <v>124</v>
      </c>
      <c r="F133" s="2" t="s">
        <v>651</v>
      </c>
      <c r="G133" s="2" t="s">
        <v>644</v>
      </c>
      <c r="H133" s="2" t="s">
        <v>261</v>
      </c>
      <c r="I133" s="2" t="s">
        <v>589</v>
      </c>
      <c r="K133" s="2" t="s">
        <v>593</v>
      </c>
      <c r="L133" s="2" t="s">
        <v>581</v>
      </c>
      <c r="N133" s="2" t="s">
        <v>581</v>
      </c>
      <c r="P133" s="2" t="s">
        <v>581</v>
      </c>
      <c r="R133" s="2" t="s">
        <v>581</v>
      </c>
      <c r="AB133" s="7"/>
    </row>
    <row r="134" spans="1:28" ht="16" x14ac:dyDescent="0.35">
      <c r="A134" s="22">
        <v>46287</v>
      </c>
      <c r="B134" s="17" t="s">
        <v>37</v>
      </c>
      <c r="C134" s="17" t="s">
        <v>38</v>
      </c>
      <c r="D134" s="17" t="s">
        <v>21</v>
      </c>
      <c r="E134" s="17" t="s">
        <v>22</v>
      </c>
      <c r="F134" s="17" t="s">
        <v>23</v>
      </c>
      <c r="G134" s="17" t="s">
        <v>644</v>
      </c>
      <c r="H134" s="18" t="s">
        <v>40</v>
      </c>
      <c r="I134" s="17" t="s">
        <v>588</v>
      </c>
      <c r="J134" s="17"/>
      <c r="K134" s="17" t="s">
        <v>182</v>
      </c>
      <c r="L134" s="2" t="s">
        <v>60</v>
      </c>
      <c r="N134" s="2" t="s">
        <v>581</v>
      </c>
      <c r="P134" s="2" t="s">
        <v>581</v>
      </c>
      <c r="R134" s="2" t="s">
        <v>581</v>
      </c>
      <c r="AB134" s="7"/>
    </row>
    <row r="135" spans="1:28" ht="16" x14ac:dyDescent="0.35">
      <c r="B135" s="2" t="s">
        <v>316</v>
      </c>
      <c r="C135" s="2" t="s">
        <v>317</v>
      </c>
      <c r="D135" s="2" t="s">
        <v>6</v>
      </c>
      <c r="E135" s="2" t="s">
        <v>124</v>
      </c>
      <c r="F135" s="2" t="s">
        <v>649</v>
      </c>
      <c r="G135" s="2" t="s">
        <v>644</v>
      </c>
      <c r="H135" s="2" t="s">
        <v>318</v>
      </c>
      <c r="I135" s="2" t="s">
        <v>589</v>
      </c>
      <c r="K135" s="2" t="s">
        <v>593</v>
      </c>
      <c r="L135" s="2" t="s">
        <v>581</v>
      </c>
      <c r="N135" s="2" t="s">
        <v>581</v>
      </c>
      <c r="P135" s="2" t="s">
        <v>581</v>
      </c>
      <c r="R135" s="2" t="s">
        <v>581</v>
      </c>
      <c r="AB135" s="7"/>
    </row>
    <row r="136" spans="1:28" ht="16" x14ac:dyDescent="0.35">
      <c r="A136" s="22">
        <v>46260</v>
      </c>
      <c r="B136" s="12" t="s">
        <v>373</v>
      </c>
      <c r="C136" s="12" t="s">
        <v>374</v>
      </c>
      <c r="D136" s="12" t="s">
        <v>6</v>
      </c>
      <c r="E136" s="12" t="s">
        <v>124</v>
      </c>
      <c r="F136" s="12" t="s">
        <v>375</v>
      </c>
      <c r="G136" s="12" t="s">
        <v>644</v>
      </c>
      <c r="H136" s="16" t="s">
        <v>376</v>
      </c>
      <c r="I136" s="12" t="s">
        <v>589</v>
      </c>
      <c r="J136" s="12"/>
      <c r="K136" s="12" t="s">
        <v>593</v>
      </c>
      <c r="L136" s="2" t="s">
        <v>60</v>
      </c>
      <c r="N136" s="2" t="s">
        <v>581</v>
      </c>
      <c r="P136" s="2" t="s">
        <v>581</v>
      </c>
      <c r="R136" s="2" t="s">
        <v>581</v>
      </c>
      <c r="AB136" s="7"/>
    </row>
    <row r="137" spans="1:28" ht="16" x14ac:dyDescent="0.35">
      <c r="B137" s="2" t="s">
        <v>247</v>
      </c>
      <c r="C137" s="2" t="s">
        <v>248</v>
      </c>
      <c r="D137" s="2" t="s">
        <v>6</v>
      </c>
      <c r="E137" s="2" t="s">
        <v>124</v>
      </c>
      <c r="F137" s="2" t="s">
        <v>249</v>
      </c>
      <c r="G137" s="2" t="s">
        <v>644</v>
      </c>
      <c r="H137" s="2" t="s">
        <v>250</v>
      </c>
      <c r="I137" s="2" t="s">
        <v>588</v>
      </c>
      <c r="K137" s="2" t="s">
        <v>593</v>
      </c>
      <c r="L137" s="2" t="s">
        <v>581</v>
      </c>
      <c r="N137" s="2" t="s">
        <v>581</v>
      </c>
      <c r="P137" s="2" t="s">
        <v>581</v>
      </c>
      <c r="R137" s="2" t="s">
        <v>581</v>
      </c>
      <c r="AB137" s="7"/>
    </row>
    <row r="138" spans="1:28" ht="16" x14ac:dyDescent="0.35">
      <c r="B138" s="2" t="s">
        <v>292</v>
      </c>
      <c r="C138" s="2" t="s">
        <v>293</v>
      </c>
      <c r="D138" s="2" t="s">
        <v>6</v>
      </c>
      <c r="E138" s="2" t="s">
        <v>124</v>
      </c>
      <c r="F138" s="2" t="s">
        <v>294</v>
      </c>
      <c r="G138" s="2" t="s">
        <v>644</v>
      </c>
      <c r="H138" s="2" t="s">
        <v>295</v>
      </c>
      <c r="I138" s="2" t="s">
        <v>588</v>
      </c>
      <c r="K138" s="2" t="s">
        <v>593</v>
      </c>
      <c r="L138" s="2" t="s">
        <v>581</v>
      </c>
      <c r="N138" s="2" t="s">
        <v>581</v>
      </c>
      <c r="P138" s="2" t="s">
        <v>581</v>
      </c>
      <c r="R138" s="2" t="s">
        <v>581</v>
      </c>
      <c r="AB138" s="7"/>
    </row>
    <row r="139" spans="1:28" ht="16" x14ac:dyDescent="0.35">
      <c r="B139" s="2" t="s">
        <v>480</v>
      </c>
      <c r="C139" s="2" t="s">
        <v>481</v>
      </c>
      <c r="D139" s="2" t="s">
        <v>6</v>
      </c>
      <c r="E139" s="2" t="s">
        <v>466</v>
      </c>
      <c r="F139" s="2" t="s">
        <v>482</v>
      </c>
      <c r="G139" s="2" t="s">
        <v>644</v>
      </c>
      <c r="H139" s="2" t="s">
        <v>483</v>
      </c>
      <c r="I139" s="2" t="s">
        <v>589</v>
      </c>
      <c r="K139" s="2" t="s">
        <v>593</v>
      </c>
      <c r="L139" s="2" t="s">
        <v>581</v>
      </c>
      <c r="N139" s="2" t="s">
        <v>581</v>
      </c>
      <c r="P139" s="2" t="s">
        <v>581</v>
      </c>
      <c r="R139" s="2" t="s">
        <v>581</v>
      </c>
      <c r="AB139" s="7"/>
    </row>
    <row r="140" spans="1:28" ht="16" x14ac:dyDescent="0.35">
      <c r="B140" s="2" t="s">
        <v>464</v>
      </c>
      <c r="C140" s="2" t="s">
        <v>465</v>
      </c>
      <c r="D140" s="2" t="s">
        <v>6</v>
      </c>
      <c r="E140" s="2" t="s">
        <v>466</v>
      </c>
      <c r="F140" s="2" t="s">
        <v>467</v>
      </c>
      <c r="G140" s="2" t="s">
        <v>644</v>
      </c>
      <c r="H140" s="2" t="s">
        <v>468</v>
      </c>
      <c r="I140" s="2" t="s">
        <v>589</v>
      </c>
      <c r="K140" s="2" t="s">
        <v>593</v>
      </c>
      <c r="L140" s="2" t="s">
        <v>581</v>
      </c>
      <c r="N140" s="2" t="s">
        <v>581</v>
      </c>
      <c r="P140" s="2" t="s">
        <v>581</v>
      </c>
      <c r="R140" s="2" t="s">
        <v>581</v>
      </c>
      <c r="AB140" s="7"/>
    </row>
    <row r="141" spans="1:28" ht="16" x14ac:dyDescent="0.35">
      <c r="A141" s="22">
        <v>46265</v>
      </c>
      <c r="B141" s="12" t="s">
        <v>168</v>
      </c>
      <c r="C141" s="12" t="s">
        <v>702</v>
      </c>
      <c r="D141" s="12" t="s">
        <v>6</v>
      </c>
      <c r="E141" s="12" t="s">
        <v>124</v>
      </c>
      <c r="F141" s="12" t="s">
        <v>166</v>
      </c>
      <c r="G141" s="12" t="s">
        <v>661</v>
      </c>
      <c r="H141" s="16" t="s">
        <v>169</v>
      </c>
      <c r="I141" s="12" t="s">
        <v>590</v>
      </c>
      <c r="J141" s="12" t="s">
        <v>703</v>
      </c>
      <c r="K141" s="12" t="s">
        <v>589</v>
      </c>
      <c r="L141" s="19" t="s">
        <v>60</v>
      </c>
      <c r="N141" s="2" t="s">
        <v>60</v>
      </c>
      <c r="O141" s="2" t="s">
        <v>704</v>
      </c>
      <c r="P141" s="2" t="s">
        <v>60</v>
      </c>
      <c r="Q141" s="2" t="s">
        <v>705</v>
      </c>
      <c r="R141" s="2" t="s">
        <v>581</v>
      </c>
      <c r="AB141" s="7"/>
    </row>
    <row r="142" spans="1:28" ht="16" x14ac:dyDescent="0.35">
      <c r="A142" s="23">
        <v>46265</v>
      </c>
      <c r="B142" s="2" t="s">
        <v>157</v>
      </c>
      <c r="C142" s="2" t="s">
        <v>158</v>
      </c>
      <c r="D142" s="2" t="s">
        <v>6</v>
      </c>
      <c r="E142" s="2" t="s">
        <v>124</v>
      </c>
      <c r="F142" s="2" t="s">
        <v>652</v>
      </c>
      <c r="G142" s="2" t="s">
        <v>644</v>
      </c>
      <c r="H142" s="2" t="s">
        <v>159</v>
      </c>
      <c r="I142" s="2" t="s">
        <v>589</v>
      </c>
      <c r="K142" s="2" t="s">
        <v>593</v>
      </c>
      <c r="L142" s="2" t="s">
        <v>581</v>
      </c>
      <c r="N142" s="2" t="s">
        <v>581</v>
      </c>
      <c r="P142" s="2" t="s">
        <v>581</v>
      </c>
      <c r="R142" s="2" t="s">
        <v>581</v>
      </c>
      <c r="AB142" s="7"/>
    </row>
    <row r="143" spans="1:28" ht="16" x14ac:dyDescent="0.35">
      <c r="B143" s="2" t="s">
        <v>191</v>
      </c>
      <c r="C143" s="2" t="s">
        <v>192</v>
      </c>
      <c r="D143" s="2" t="s">
        <v>6</v>
      </c>
      <c r="E143" s="2" t="s">
        <v>124</v>
      </c>
      <c r="F143" s="2" t="s">
        <v>193</v>
      </c>
      <c r="G143" s="2" t="s">
        <v>644</v>
      </c>
      <c r="H143" s="2" t="s">
        <v>194</v>
      </c>
      <c r="I143" s="2" t="s">
        <v>589</v>
      </c>
      <c r="K143" s="2" t="s">
        <v>593</v>
      </c>
      <c r="L143" s="2" t="s">
        <v>581</v>
      </c>
      <c r="N143" s="2" t="s">
        <v>581</v>
      </c>
      <c r="P143" s="2" t="s">
        <v>581</v>
      </c>
      <c r="R143" s="2" t="s">
        <v>581</v>
      </c>
      <c r="AB143" s="7"/>
    </row>
    <row r="144" spans="1:28" ht="16" x14ac:dyDescent="0.35">
      <c r="B144" s="2" t="s">
        <v>469</v>
      </c>
      <c r="C144" s="2" t="s">
        <v>470</v>
      </c>
      <c r="D144" s="2" t="s">
        <v>6</v>
      </c>
      <c r="E144" s="2" t="s">
        <v>466</v>
      </c>
      <c r="F144" s="2" t="s">
        <v>471</v>
      </c>
      <c r="G144" s="2" t="s">
        <v>644</v>
      </c>
      <c r="H144" s="2" t="s">
        <v>472</v>
      </c>
      <c r="I144" s="2" t="s">
        <v>589</v>
      </c>
      <c r="K144" s="2" t="s">
        <v>593</v>
      </c>
      <c r="L144" s="2" t="s">
        <v>581</v>
      </c>
      <c r="N144" s="2" t="s">
        <v>581</v>
      </c>
      <c r="P144" s="2" t="s">
        <v>581</v>
      </c>
      <c r="R144" s="2" t="s">
        <v>581</v>
      </c>
      <c r="AB144" s="7"/>
    </row>
    <row r="145" spans="2:28" ht="16" x14ac:dyDescent="0.35">
      <c r="B145" s="2" t="s">
        <v>74</v>
      </c>
      <c r="C145" s="2" t="s">
        <v>75</v>
      </c>
      <c r="D145" s="2" t="s">
        <v>6</v>
      </c>
      <c r="E145" s="2" t="s">
        <v>71</v>
      </c>
      <c r="F145" s="2" t="s">
        <v>76</v>
      </c>
      <c r="G145" s="2" t="s">
        <v>644</v>
      </c>
      <c r="H145" s="2" t="s">
        <v>596</v>
      </c>
      <c r="I145" s="2" t="s">
        <v>589</v>
      </c>
      <c r="K145" s="2" t="s">
        <v>593</v>
      </c>
      <c r="L145" s="2" t="s">
        <v>581</v>
      </c>
      <c r="N145" s="2" t="s">
        <v>581</v>
      </c>
      <c r="P145" s="2" t="s">
        <v>581</v>
      </c>
      <c r="R145" s="2" t="s">
        <v>581</v>
      </c>
      <c r="AB145" s="7"/>
    </row>
    <row r="146" spans="2:28" ht="16" x14ac:dyDescent="0.35">
      <c r="B146" s="2" t="s">
        <v>507</v>
      </c>
      <c r="C146" s="2" t="s">
        <v>508</v>
      </c>
      <c r="D146" s="2" t="s">
        <v>21</v>
      </c>
      <c r="E146" s="2" t="s">
        <v>504</v>
      </c>
      <c r="F146" s="2" t="s">
        <v>509</v>
      </c>
      <c r="G146" s="2" t="s">
        <v>644</v>
      </c>
      <c r="H146" s="2" t="s">
        <v>510</v>
      </c>
      <c r="I146" s="2" t="s">
        <v>588</v>
      </c>
      <c r="K146" s="2" t="s">
        <v>593</v>
      </c>
      <c r="L146" s="2" t="s">
        <v>581</v>
      </c>
      <c r="N146" s="2" t="s">
        <v>581</v>
      </c>
      <c r="P146" s="2" t="s">
        <v>581</v>
      </c>
      <c r="R146" s="2" t="s">
        <v>581</v>
      </c>
      <c r="AB146" s="7"/>
    </row>
    <row r="147" spans="2:28" ht="16" x14ac:dyDescent="0.35">
      <c r="B147" s="2" t="s">
        <v>183</v>
      </c>
      <c r="C147" s="2" t="s">
        <v>184</v>
      </c>
      <c r="D147" s="2" t="s">
        <v>6</v>
      </c>
      <c r="E147" s="2" t="s">
        <v>124</v>
      </c>
      <c r="F147" s="2" t="s">
        <v>185</v>
      </c>
      <c r="G147" s="2" t="s">
        <v>644</v>
      </c>
      <c r="H147" s="2" t="s">
        <v>186</v>
      </c>
      <c r="I147" s="2" t="s">
        <v>588</v>
      </c>
      <c r="K147" s="2" t="s">
        <v>593</v>
      </c>
      <c r="L147" s="2" t="s">
        <v>581</v>
      </c>
      <c r="N147" s="2" t="s">
        <v>581</v>
      </c>
      <c r="P147" s="2" t="s">
        <v>581</v>
      </c>
      <c r="R147" s="2" t="s">
        <v>581</v>
      </c>
      <c r="AB147" s="7"/>
    </row>
    <row r="148" spans="2:28" ht="16" x14ac:dyDescent="0.35">
      <c r="B148" s="2" t="s">
        <v>561</v>
      </c>
      <c r="C148" s="2" t="s">
        <v>562</v>
      </c>
      <c r="D148" s="2" t="s">
        <v>21</v>
      </c>
      <c r="E148" s="2" t="s">
        <v>539</v>
      </c>
      <c r="F148" s="2" t="s">
        <v>563</v>
      </c>
      <c r="G148" s="2" t="s">
        <v>644</v>
      </c>
      <c r="H148" s="2" t="s">
        <v>564</v>
      </c>
      <c r="I148" s="2" t="s">
        <v>588</v>
      </c>
      <c r="K148" s="2" t="s">
        <v>589</v>
      </c>
      <c r="L148" s="2" t="s">
        <v>60</v>
      </c>
      <c r="N148" s="2" t="s">
        <v>581</v>
      </c>
      <c r="P148" s="2" t="s">
        <v>581</v>
      </c>
      <c r="R148" s="2" t="s">
        <v>581</v>
      </c>
      <c r="AB148" s="7"/>
    </row>
    <row r="149" spans="2:28" ht="16" x14ac:dyDescent="0.35">
      <c r="B149" s="2" t="s">
        <v>203</v>
      </c>
      <c r="C149" s="2" t="s">
        <v>204</v>
      </c>
      <c r="D149" s="2" t="s">
        <v>6</v>
      </c>
      <c r="E149" s="2" t="s">
        <v>124</v>
      </c>
      <c r="F149" s="2" t="s">
        <v>205</v>
      </c>
      <c r="G149" s="2" t="s">
        <v>644</v>
      </c>
      <c r="H149" s="2" t="s">
        <v>206</v>
      </c>
      <c r="I149" s="2" t="s">
        <v>589</v>
      </c>
      <c r="K149" s="2" t="s">
        <v>593</v>
      </c>
      <c r="L149" s="2" t="s">
        <v>581</v>
      </c>
      <c r="N149" s="2" t="s">
        <v>581</v>
      </c>
      <c r="P149" s="2" t="s">
        <v>581</v>
      </c>
      <c r="R149" s="2" t="s">
        <v>581</v>
      </c>
      <c r="AB149" s="7"/>
    </row>
    <row r="150" spans="2:28" ht="16" x14ac:dyDescent="0.35">
      <c r="B150" s="20" t="s">
        <v>347</v>
      </c>
      <c r="C150" s="20" t="s">
        <v>348</v>
      </c>
      <c r="D150" s="20" t="s">
        <v>6</v>
      </c>
      <c r="E150" s="20" t="s">
        <v>124</v>
      </c>
      <c r="F150" s="20" t="s">
        <v>345</v>
      </c>
      <c r="G150" s="20" t="s">
        <v>643</v>
      </c>
      <c r="H150" s="20" t="s">
        <v>349</v>
      </c>
      <c r="I150" s="20" t="s">
        <v>589</v>
      </c>
      <c r="J150" s="20"/>
      <c r="K150" s="20" t="s">
        <v>593</v>
      </c>
      <c r="L150" s="2" t="s">
        <v>60</v>
      </c>
      <c r="N150" s="2" t="s">
        <v>581</v>
      </c>
      <c r="P150" s="2" t="s">
        <v>581</v>
      </c>
      <c r="R150" s="2" t="s">
        <v>581</v>
      </c>
      <c r="AB150" s="7"/>
    </row>
    <row r="151" spans="2:28" x14ac:dyDescent="0.35">
      <c r="B151" s="2" t="s">
        <v>114</v>
      </c>
      <c r="C151" s="2" t="s">
        <v>115</v>
      </c>
      <c r="D151" s="2" t="s">
        <v>21</v>
      </c>
      <c r="E151" s="2" t="s">
        <v>107</v>
      </c>
      <c r="F151" s="2" t="s">
        <v>116</v>
      </c>
      <c r="G151" s="2" t="s">
        <v>644</v>
      </c>
      <c r="H151" s="2" t="s">
        <v>117</v>
      </c>
      <c r="I151" s="2" t="s">
        <v>588</v>
      </c>
      <c r="K151" s="2" t="s">
        <v>593</v>
      </c>
      <c r="L151" s="2" t="s">
        <v>60</v>
      </c>
      <c r="N151" s="2" t="s">
        <v>581</v>
      </c>
      <c r="P151" s="2" t="s">
        <v>581</v>
      </c>
      <c r="R151" s="2" t="s">
        <v>581</v>
      </c>
      <c r="Z151" s="2" t="s">
        <v>632</v>
      </c>
      <c r="AA151" s="2">
        <v>3</v>
      </c>
    </row>
  </sheetData>
  <phoneticPr fontId="24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9512-725C-466B-A819-44FFF88E52C1}">
  <dimension ref="A1:AA201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8.81640625" defaultRowHeight="14.5" x14ac:dyDescent="0.35"/>
  <cols>
    <col min="1" max="1" width="26.453125" style="2" bestFit="1" customWidth="1"/>
    <col min="2" max="2" width="28.1796875" style="2" bestFit="1" customWidth="1"/>
    <col min="3" max="3" width="13.81640625" style="2" customWidth="1"/>
    <col min="4" max="4" width="16" style="2" hidden="1" customWidth="1"/>
    <col min="5" max="5" width="13.7265625" style="2" hidden="1" customWidth="1"/>
    <col min="6" max="6" width="21.26953125" style="2" customWidth="1"/>
    <col min="7" max="8" width="25.7265625" style="2" bestFit="1" customWidth="1"/>
    <col min="9" max="9" width="35.81640625" style="2" bestFit="1" customWidth="1"/>
    <col min="10" max="10" width="37.54296875" style="2" bestFit="1" customWidth="1"/>
    <col min="11" max="11" width="41.54296875" style="2" bestFit="1" customWidth="1"/>
    <col min="12" max="12" width="39.81640625" style="2" bestFit="1" customWidth="1"/>
    <col min="13" max="13" width="53.7265625" style="2" bestFit="1" customWidth="1"/>
    <col min="14" max="14" width="52" style="2" bestFit="1" customWidth="1"/>
    <col min="15" max="15" width="33.7265625" style="2" bestFit="1" customWidth="1"/>
    <col min="16" max="16" width="32" style="2" bestFit="1" customWidth="1"/>
    <col min="17" max="17" width="36.1796875" style="2" bestFit="1" customWidth="1"/>
    <col min="18" max="18" width="34.26953125" style="2" bestFit="1" customWidth="1"/>
    <col min="19" max="19" width="25.81640625" style="2" bestFit="1" customWidth="1"/>
    <col min="20" max="21" width="34.26953125" style="2" customWidth="1"/>
    <col min="22" max="22" width="21.81640625" style="2" customWidth="1"/>
    <col min="23" max="23" width="8.81640625" style="2"/>
    <col min="24" max="24" width="24.26953125" style="2" bestFit="1" customWidth="1"/>
    <col min="25" max="25" width="26.81640625" style="2" customWidth="1"/>
    <col min="26" max="26" width="15.453125" style="2" bestFit="1" customWidth="1"/>
    <col min="27" max="16384" width="8.81640625" style="2"/>
  </cols>
  <sheetData>
    <row r="1" spans="1:27" s="1" customFormat="1" ht="21" x14ac:dyDescent="0.35">
      <c r="A1" s="5" t="s">
        <v>611</v>
      </c>
      <c r="B1" s="5" t="s">
        <v>617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598</v>
      </c>
      <c r="H1" s="5" t="s">
        <v>584</v>
      </c>
      <c r="I1" s="5" t="s">
        <v>610</v>
      </c>
      <c r="J1" s="5" t="s">
        <v>587</v>
      </c>
      <c r="K1" s="5" t="s">
        <v>629</v>
      </c>
      <c r="L1" s="5" t="s">
        <v>609</v>
      </c>
      <c r="M1" s="5" t="s">
        <v>628</v>
      </c>
      <c r="N1" s="5" t="s">
        <v>618</v>
      </c>
      <c r="O1" s="5" t="s">
        <v>625</v>
      </c>
      <c r="P1" s="5" t="s">
        <v>608</v>
      </c>
      <c r="Q1" s="5" t="s">
        <v>626</v>
      </c>
      <c r="R1" s="5" t="s">
        <v>614</v>
      </c>
      <c r="S1" s="5" t="s">
        <v>627</v>
      </c>
      <c r="T1" s="5" t="s">
        <v>621</v>
      </c>
      <c r="U1" s="5" t="s">
        <v>622</v>
      </c>
      <c r="V1" s="5"/>
      <c r="W1" s="5"/>
      <c r="X1" s="6" t="s">
        <v>583</v>
      </c>
      <c r="Y1" s="6" t="s">
        <v>3</v>
      </c>
      <c r="Z1" s="6" t="s">
        <v>599</v>
      </c>
    </row>
    <row r="2" spans="1:27" ht="16" x14ac:dyDescent="0.35">
      <c r="A2" s="12" t="s">
        <v>633</v>
      </c>
      <c r="B2" s="12" t="s">
        <v>634</v>
      </c>
      <c r="C2" s="12" t="s">
        <v>616</v>
      </c>
      <c r="D2" s="12"/>
      <c r="E2" s="12"/>
      <c r="F2" s="12" t="s">
        <v>632</v>
      </c>
      <c r="G2" s="12" t="s">
        <v>631</v>
      </c>
      <c r="H2" s="12" t="s">
        <v>590</v>
      </c>
      <c r="I2" s="12" t="s">
        <v>635</v>
      </c>
      <c r="J2" s="12" t="s">
        <v>630</v>
      </c>
      <c r="K2" s="12" t="s">
        <v>636</v>
      </c>
      <c r="L2" s="12" t="s">
        <v>637</v>
      </c>
      <c r="M2" s="12" t="s">
        <v>636</v>
      </c>
      <c r="N2" s="12" t="s">
        <v>638</v>
      </c>
      <c r="O2" s="12" t="s">
        <v>636</v>
      </c>
      <c r="P2" s="12" t="s">
        <v>639</v>
      </c>
      <c r="Q2" s="12" t="s">
        <v>636</v>
      </c>
      <c r="R2" s="12" t="s">
        <v>640</v>
      </c>
      <c r="S2" s="13" t="s">
        <v>636</v>
      </c>
      <c r="T2" s="13" t="s">
        <v>642</v>
      </c>
      <c r="U2" s="13" t="s">
        <v>641</v>
      </c>
      <c r="X2" s="3" t="s">
        <v>582</v>
      </c>
      <c r="Y2" s="2" t="s">
        <v>632</v>
      </c>
      <c r="Z2" s="2">
        <f>COUNTIF(Table17[Model],"Dell Pro Max Tower T2")-1</f>
        <v>0</v>
      </c>
      <c r="AA2" s="7"/>
    </row>
    <row r="3" spans="1:27" ht="16" x14ac:dyDescent="0.35">
      <c r="S3" s="10"/>
      <c r="T3" s="10"/>
      <c r="U3" s="10"/>
      <c r="X3" s="4"/>
      <c r="Y3" s="3" t="s">
        <v>600</v>
      </c>
      <c r="Z3" s="8">
        <f>SUM(Z2)</f>
        <v>0</v>
      </c>
      <c r="AA3" s="7"/>
    </row>
    <row r="4" spans="1:27" ht="16" x14ac:dyDescent="0.35">
      <c r="S4" s="10"/>
      <c r="T4" s="10"/>
      <c r="U4" s="10"/>
      <c r="X4" s="3"/>
      <c r="AA4" s="7"/>
    </row>
    <row r="5" spans="1:27" ht="16" x14ac:dyDescent="0.35">
      <c r="S5" s="10"/>
      <c r="T5" s="10"/>
      <c r="U5" s="10"/>
      <c r="X5" s="3" t="s">
        <v>584</v>
      </c>
      <c r="Y5" s="2" t="s">
        <v>590</v>
      </c>
      <c r="Z5" s="2">
        <f>COUNTIF(Table17[Primary Monitor],"MSI 32 Inch (4K)")-1</f>
        <v>0</v>
      </c>
      <c r="AA5" s="7"/>
    </row>
    <row r="6" spans="1:27" ht="16" x14ac:dyDescent="0.35">
      <c r="S6" s="10"/>
      <c r="T6" s="10"/>
      <c r="U6" s="10"/>
      <c r="X6" s="3"/>
      <c r="Y6" s="3" t="s">
        <v>601</v>
      </c>
      <c r="Z6" s="8">
        <f>SUM(Z4:Z5)</f>
        <v>0</v>
      </c>
      <c r="AA6" s="7"/>
    </row>
    <row r="7" spans="1:27" ht="16" x14ac:dyDescent="0.35">
      <c r="S7" s="10"/>
      <c r="T7" s="10"/>
      <c r="U7" s="10"/>
      <c r="X7" s="3"/>
      <c r="AA7" s="7"/>
    </row>
    <row r="8" spans="1:27" ht="16" x14ac:dyDescent="0.35">
      <c r="S8" s="10"/>
      <c r="T8" s="10"/>
      <c r="U8" s="10"/>
      <c r="X8" s="3" t="s">
        <v>587</v>
      </c>
      <c r="Y8" s="2" t="s">
        <v>630</v>
      </c>
      <c r="Z8" s="2">
        <f>COUNTIF(Table17[Additional Monitor(s)],"Dell 24 Inch (Non 4K)")-1</f>
        <v>0</v>
      </c>
      <c r="AA8" s="7"/>
    </row>
    <row r="9" spans="1:27" ht="16" x14ac:dyDescent="0.35">
      <c r="S9" s="10"/>
      <c r="T9" s="10"/>
      <c r="U9" s="10"/>
      <c r="X9" s="3"/>
      <c r="Y9" s="3" t="s">
        <v>602</v>
      </c>
      <c r="Z9" s="8">
        <f>SUM(Z6:Z8)</f>
        <v>0</v>
      </c>
      <c r="AA9" s="7"/>
    </row>
    <row r="10" spans="1:27" ht="16" x14ac:dyDescent="0.35">
      <c r="S10" s="10"/>
      <c r="T10" s="10"/>
      <c r="U10" s="10"/>
      <c r="X10" s="3"/>
      <c r="AA10" s="7"/>
    </row>
    <row r="11" spans="1:27" ht="16" x14ac:dyDescent="0.35">
      <c r="S11" s="10"/>
      <c r="T11" s="10"/>
      <c r="U11" s="10"/>
      <c r="X11" s="3" t="s">
        <v>597</v>
      </c>
      <c r="Y11" s="2" t="s">
        <v>590</v>
      </c>
      <c r="Z11" s="2">
        <f>SUM(Z5)</f>
        <v>0</v>
      </c>
      <c r="AA11" s="7"/>
    </row>
    <row r="12" spans="1:27" ht="16" x14ac:dyDescent="0.35">
      <c r="S12" s="10"/>
      <c r="T12" s="10"/>
      <c r="U12" s="10"/>
      <c r="X12" s="3"/>
      <c r="Y12" s="2" t="s">
        <v>591</v>
      </c>
      <c r="Z12" s="2">
        <f>SUM(Z8)</f>
        <v>0</v>
      </c>
      <c r="AA12" s="7"/>
    </row>
    <row r="13" spans="1:27" ht="16" x14ac:dyDescent="0.35">
      <c r="S13" s="10"/>
      <c r="T13" s="10"/>
      <c r="U13" s="10"/>
      <c r="X13" s="3"/>
      <c r="Y13" s="3" t="s">
        <v>603</v>
      </c>
      <c r="Z13" s="8">
        <f>SUM(Z11:Z12)</f>
        <v>0</v>
      </c>
      <c r="AA13" s="7"/>
    </row>
    <row r="14" spans="1:27" ht="16" x14ac:dyDescent="0.35">
      <c r="S14" s="10"/>
      <c r="T14" s="10"/>
      <c r="U14" s="10"/>
      <c r="X14" s="3"/>
      <c r="AA14" s="7"/>
    </row>
    <row r="15" spans="1:27" ht="16" x14ac:dyDescent="0.35">
      <c r="S15" s="10"/>
      <c r="T15" s="10"/>
      <c r="U15" s="10"/>
      <c r="X15" s="3" t="s">
        <v>619</v>
      </c>
      <c r="Y15" s="2" t="s">
        <v>10</v>
      </c>
      <c r="Z15" s="2">
        <f>COUNTIF(Table17[3D Connect Mouse (Yes/No)],"Yes")-1</f>
        <v>0</v>
      </c>
      <c r="AA15" s="7"/>
    </row>
    <row r="16" spans="1:27" ht="16" x14ac:dyDescent="0.35">
      <c r="S16" s="10"/>
      <c r="T16" s="10"/>
      <c r="U16" s="10"/>
      <c r="X16" s="3"/>
      <c r="Y16" s="2" t="s">
        <v>612</v>
      </c>
      <c r="Z16" s="2">
        <f>COUNTIF(Table17[Logitech MX Master Mouse 4 (Yes/No)],"Yes")-1</f>
        <v>0</v>
      </c>
      <c r="AA16" s="7"/>
    </row>
    <row r="17" spans="19:27" ht="16" x14ac:dyDescent="0.35">
      <c r="S17" s="10"/>
      <c r="T17" s="10"/>
      <c r="U17" s="10"/>
      <c r="X17" s="3"/>
      <c r="Y17" s="2" t="s">
        <v>615</v>
      </c>
      <c r="Z17" s="2">
        <f>COUNTIF(Table17[PS5 Controller (Yes/No)],"Yes")-1</f>
        <v>0</v>
      </c>
      <c r="AA17" s="7"/>
    </row>
    <row r="18" spans="19:27" ht="16" x14ac:dyDescent="0.35">
      <c r="S18" s="10"/>
      <c r="T18" s="10"/>
      <c r="U18" s="10"/>
      <c r="X18" s="3"/>
      <c r="Y18" s="3" t="s">
        <v>604</v>
      </c>
      <c r="Z18" s="3">
        <f>SUM(Z15:Z17)</f>
        <v>0</v>
      </c>
      <c r="AA18" s="7"/>
    </row>
    <row r="19" spans="19:27" ht="16" x14ac:dyDescent="0.35">
      <c r="S19" s="10"/>
      <c r="T19" s="10"/>
      <c r="U19" s="10"/>
      <c r="X19" s="3"/>
      <c r="AA19" s="7"/>
    </row>
    <row r="20" spans="19:27" ht="16" x14ac:dyDescent="0.35">
      <c r="S20" s="10"/>
      <c r="T20" s="10"/>
      <c r="U20" s="10"/>
      <c r="X20" s="3" t="s">
        <v>586</v>
      </c>
      <c r="Y20" s="2" t="s">
        <v>580</v>
      </c>
      <c r="Z20" s="2">
        <f>COUNTIF(Table17[Stream Deck (Yes/No)],"Yes")-1</f>
        <v>0</v>
      </c>
      <c r="AA20" s="7"/>
    </row>
    <row r="21" spans="19:27" ht="16" x14ac:dyDescent="0.35">
      <c r="S21" s="10"/>
      <c r="T21" s="10"/>
      <c r="U21" s="10"/>
      <c r="X21" s="3"/>
      <c r="Y21" s="3" t="s">
        <v>605</v>
      </c>
      <c r="Z21" s="3">
        <f>SUM(Z20)</f>
        <v>0</v>
      </c>
      <c r="AA21" s="7"/>
    </row>
    <row r="22" spans="19:27" ht="16" x14ac:dyDescent="0.35">
      <c r="S22" s="10"/>
      <c r="T22" s="10"/>
      <c r="U22" s="10"/>
      <c r="X22" s="3"/>
      <c r="AA22" s="7"/>
    </row>
    <row r="23" spans="19:27" ht="16" x14ac:dyDescent="0.35">
      <c r="S23" s="10"/>
      <c r="T23" s="10"/>
      <c r="U23" s="10"/>
      <c r="X23" s="3" t="s">
        <v>623</v>
      </c>
      <c r="Y23" s="2" t="s">
        <v>620</v>
      </c>
      <c r="Z23" s="2">
        <f>COUNTIF(Table17[Meraki (Yes/No)],"Yes")-1</f>
        <v>0</v>
      </c>
      <c r="AA23" s="7"/>
    </row>
    <row r="24" spans="19:27" ht="16" x14ac:dyDescent="0.35">
      <c r="S24" s="10"/>
      <c r="T24" s="10"/>
      <c r="U24" s="10"/>
      <c r="X24" s="3"/>
      <c r="Y24" s="11" t="s">
        <v>624</v>
      </c>
      <c r="Z24" s="2">
        <f>SUM(Z23)</f>
        <v>0</v>
      </c>
      <c r="AA24" s="7"/>
    </row>
    <row r="25" spans="19:27" ht="16" x14ac:dyDescent="0.35">
      <c r="S25" s="10"/>
      <c r="T25" s="10"/>
      <c r="U25" s="10"/>
      <c r="X25" s="3"/>
      <c r="AA25" s="7"/>
    </row>
    <row r="26" spans="19:27" ht="16" x14ac:dyDescent="0.35">
      <c r="S26" s="10"/>
      <c r="T26" s="10"/>
      <c r="U26" s="10"/>
      <c r="X26" s="3"/>
      <c r="AA26" s="7"/>
    </row>
    <row r="27" spans="19:27" ht="16" x14ac:dyDescent="0.35">
      <c r="S27" s="10"/>
      <c r="T27" s="10"/>
      <c r="U27" s="10"/>
      <c r="X27" s="4"/>
      <c r="AA27" s="7"/>
    </row>
    <row r="28" spans="19:27" ht="16" x14ac:dyDescent="0.35">
      <c r="S28" s="10"/>
      <c r="T28" s="10"/>
      <c r="U28" s="10"/>
      <c r="X28" s="3"/>
      <c r="AA28" s="7"/>
    </row>
    <row r="29" spans="19:27" ht="16" x14ac:dyDescent="0.35">
      <c r="S29" s="10"/>
      <c r="T29" s="10"/>
      <c r="U29" s="10"/>
      <c r="X29" s="3"/>
      <c r="AA29" s="7"/>
    </row>
    <row r="30" spans="19:27" ht="16" x14ac:dyDescent="0.35">
      <c r="S30" s="10"/>
      <c r="T30" s="10"/>
      <c r="U30" s="10"/>
      <c r="X30" s="3"/>
      <c r="AA30" s="7"/>
    </row>
    <row r="31" spans="19:27" ht="16" x14ac:dyDescent="0.35">
      <c r="S31" s="10"/>
      <c r="T31" s="10"/>
      <c r="U31" s="10"/>
      <c r="X31" s="3"/>
      <c r="AA31" s="7"/>
    </row>
    <row r="32" spans="19:27" ht="16" x14ac:dyDescent="0.35">
      <c r="S32" s="10"/>
      <c r="T32" s="10"/>
      <c r="U32" s="10"/>
      <c r="AA32" s="7"/>
    </row>
    <row r="33" spans="19:27" ht="16" x14ac:dyDescent="0.35">
      <c r="S33" s="10"/>
      <c r="T33" s="10"/>
      <c r="U33" s="10"/>
      <c r="AA33" s="7"/>
    </row>
    <row r="34" spans="19:27" ht="16" x14ac:dyDescent="0.35">
      <c r="S34" s="10"/>
      <c r="T34" s="10"/>
      <c r="U34" s="10"/>
      <c r="AA34" s="7"/>
    </row>
    <row r="35" spans="19:27" ht="16" x14ac:dyDescent="0.35">
      <c r="S35" s="10"/>
      <c r="T35" s="10"/>
      <c r="U35" s="10"/>
      <c r="AA35" s="7"/>
    </row>
    <row r="36" spans="19:27" ht="16" x14ac:dyDescent="0.35">
      <c r="S36" s="10"/>
      <c r="T36" s="10"/>
      <c r="U36" s="10"/>
      <c r="AA36" s="7"/>
    </row>
    <row r="37" spans="19:27" ht="16" x14ac:dyDescent="0.35">
      <c r="S37" s="10"/>
      <c r="T37" s="10"/>
      <c r="U37" s="10"/>
      <c r="AA37" s="7"/>
    </row>
    <row r="38" spans="19:27" ht="16" x14ac:dyDescent="0.35">
      <c r="S38" s="10"/>
      <c r="T38" s="10"/>
      <c r="U38" s="10"/>
      <c r="AA38" s="7"/>
    </row>
    <row r="39" spans="19:27" ht="16" x14ac:dyDescent="0.35">
      <c r="S39" s="10"/>
      <c r="T39" s="10"/>
      <c r="U39" s="10"/>
      <c r="AA39" s="7"/>
    </row>
    <row r="40" spans="19:27" ht="16" x14ac:dyDescent="0.35">
      <c r="S40" s="10"/>
      <c r="T40" s="10"/>
      <c r="U40" s="10"/>
      <c r="AA40" s="7"/>
    </row>
    <row r="41" spans="19:27" ht="16" x14ac:dyDescent="0.35">
      <c r="S41" s="10"/>
      <c r="T41" s="10"/>
      <c r="U41" s="10"/>
      <c r="AA41" s="7"/>
    </row>
    <row r="42" spans="19:27" ht="16" x14ac:dyDescent="0.35">
      <c r="S42" s="10"/>
      <c r="T42" s="10"/>
      <c r="U42" s="10"/>
      <c r="AA42" s="7"/>
    </row>
    <row r="43" spans="19:27" ht="16" x14ac:dyDescent="0.35">
      <c r="S43" s="10"/>
      <c r="T43" s="10"/>
      <c r="U43" s="10"/>
      <c r="AA43" s="7"/>
    </row>
    <row r="44" spans="19:27" ht="16" x14ac:dyDescent="0.35">
      <c r="S44" s="10"/>
      <c r="T44" s="10"/>
      <c r="U44" s="10"/>
      <c r="AA44" s="7"/>
    </row>
    <row r="45" spans="19:27" ht="16" x14ac:dyDescent="0.35">
      <c r="S45" s="10"/>
      <c r="T45" s="10"/>
      <c r="U45" s="10"/>
      <c r="AA45" s="7"/>
    </row>
    <row r="46" spans="19:27" ht="16" x14ac:dyDescent="0.35">
      <c r="S46" s="10"/>
      <c r="T46" s="10"/>
      <c r="U46" s="10"/>
      <c r="AA46" s="7"/>
    </row>
    <row r="47" spans="19:27" ht="16" x14ac:dyDescent="0.35">
      <c r="S47" s="10"/>
      <c r="T47" s="10"/>
      <c r="U47" s="10"/>
      <c r="AA47" s="7"/>
    </row>
    <row r="48" spans="19:27" ht="16" x14ac:dyDescent="0.35">
      <c r="S48" s="10"/>
      <c r="T48" s="10"/>
      <c r="U48" s="10"/>
      <c r="AA48" s="7"/>
    </row>
    <row r="49" spans="19:27" ht="16" x14ac:dyDescent="0.35">
      <c r="S49" s="10"/>
      <c r="T49" s="10"/>
      <c r="U49" s="10"/>
      <c r="AA49" s="7"/>
    </row>
    <row r="50" spans="19:27" ht="16" x14ac:dyDescent="0.35">
      <c r="S50" s="10"/>
      <c r="T50" s="10"/>
      <c r="U50" s="10"/>
      <c r="AA50" s="7"/>
    </row>
    <row r="51" spans="19:27" ht="16" x14ac:dyDescent="0.35">
      <c r="S51" s="10"/>
      <c r="T51" s="10"/>
      <c r="U51" s="10"/>
      <c r="AA51" s="7"/>
    </row>
    <row r="52" spans="19:27" ht="16" x14ac:dyDescent="0.35">
      <c r="S52" s="10"/>
      <c r="T52" s="10"/>
      <c r="U52" s="10"/>
      <c r="AA52" s="7"/>
    </row>
    <row r="53" spans="19:27" ht="16" x14ac:dyDescent="0.35">
      <c r="S53" s="10"/>
      <c r="T53" s="10"/>
      <c r="U53" s="10"/>
      <c r="AA53" s="7"/>
    </row>
    <row r="54" spans="19:27" ht="16" x14ac:dyDescent="0.35">
      <c r="S54" s="10"/>
      <c r="T54" s="10"/>
      <c r="U54" s="10"/>
      <c r="AA54" s="7"/>
    </row>
    <row r="55" spans="19:27" ht="16" x14ac:dyDescent="0.35">
      <c r="S55" s="10"/>
      <c r="T55" s="10"/>
      <c r="U55" s="10"/>
      <c r="AA55" s="7"/>
    </row>
    <row r="56" spans="19:27" ht="16" x14ac:dyDescent="0.35">
      <c r="S56" s="10"/>
      <c r="T56" s="10"/>
      <c r="U56" s="10"/>
      <c r="AA56" s="7"/>
    </row>
    <row r="57" spans="19:27" ht="16" x14ac:dyDescent="0.35">
      <c r="S57" s="10"/>
      <c r="T57" s="10"/>
      <c r="U57" s="10"/>
      <c r="AA57" s="7"/>
    </row>
    <row r="58" spans="19:27" ht="16" x14ac:dyDescent="0.35">
      <c r="S58" s="10"/>
      <c r="T58" s="10"/>
      <c r="U58" s="10"/>
      <c r="AA58" s="7"/>
    </row>
    <row r="59" spans="19:27" ht="16" x14ac:dyDescent="0.35">
      <c r="S59" s="10"/>
      <c r="T59" s="10"/>
      <c r="U59" s="10"/>
      <c r="AA59" s="7"/>
    </row>
    <row r="60" spans="19:27" ht="16" x14ac:dyDescent="0.35">
      <c r="S60" s="10"/>
      <c r="T60" s="10"/>
      <c r="U60" s="10"/>
      <c r="AA60" s="7"/>
    </row>
    <row r="61" spans="19:27" ht="16" x14ac:dyDescent="0.35">
      <c r="S61" s="10"/>
      <c r="T61" s="10"/>
      <c r="U61" s="10"/>
      <c r="AA61" s="7"/>
    </row>
    <row r="62" spans="19:27" ht="16" x14ac:dyDescent="0.35">
      <c r="S62" s="10"/>
      <c r="T62" s="10"/>
      <c r="U62" s="10"/>
      <c r="AA62" s="7"/>
    </row>
    <row r="63" spans="19:27" ht="16" x14ac:dyDescent="0.35">
      <c r="S63" s="10"/>
      <c r="T63" s="10"/>
      <c r="U63" s="10"/>
      <c r="AA63" s="7"/>
    </row>
    <row r="64" spans="19:27" ht="16" x14ac:dyDescent="0.35">
      <c r="S64" s="10"/>
      <c r="T64" s="10"/>
      <c r="U64" s="10"/>
      <c r="AA64" s="7"/>
    </row>
    <row r="65" spans="19:27" ht="16" x14ac:dyDescent="0.35">
      <c r="S65" s="10"/>
      <c r="T65" s="10"/>
      <c r="U65" s="10"/>
      <c r="AA65" s="7"/>
    </row>
    <row r="66" spans="19:27" ht="16" x14ac:dyDescent="0.35">
      <c r="S66" s="10"/>
      <c r="T66" s="10"/>
      <c r="U66" s="10"/>
      <c r="AA66" s="7"/>
    </row>
    <row r="67" spans="19:27" ht="16" x14ac:dyDescent="0.35">
      <c r="S67" s="10"/>
      <c r="T67" s="10"/>
      <c r="U67" s="10"/>
      <c r="AA67" s="7"/>
    </row>
    <row r="68" spans="19:27" ht="16" x14ac:dyDescent="0.35">
      <c r="S68" s="10"/>
      <c r="T68" s="10"/>
      <c r="U68" s="10"/>
      <c r="AA68" s="7"/>
    </row>
    <row r="69" spans="19:27" ht="16" x14ac:dyDescent="0.35">
      <c r="S69" s="10"/>
      <c r="T69" s="10"/>
      <c r="U69" s="10"/>
      <c r="AA69" s="7"/>
    </row>
    <row r="70" spans="19:27" ht="16" x14ac:dyDescent="0.35">
      <c r="S70" s="10"/>
      <c r="T70" s="10"/>
      <c r="U70" s="10"/>
      <c r="AA70" s="7"/>
    </row>
    <row r="71" spans="19:27" ht="16" x14ac:dyDescent="0.35">
      <c r="S71" s="10"/>
      <c r="T71" s="10"/>
      <c r="U71" s="10"/>
      <c r="AA71" s="7"/>
    </row>
    <row r="72" spans="19:27" ht="16" x14ac:dyDescent="0.35">
      <c r="S72" s="10"/>
      <c r="T72" s="10"/>
      <c r="U72" s="10"/>
      <c r="AA72" s="7"/>
    </row>
    <row r="73" spans="19:27" ht="16" x14ac:dyDescent="0.35">
      <c r="S73" s="10"/>
      <c r="T73" s="10"/>
      <c r="U73" s="10"/>
      <c r="AA73" s="7"/>
    </row>
    <row r="74" spans="19:27" ht="16" x14ac:dyDescent="0.35">
      <c r="S74" s="10"/>
      <c r="T74" s="10"/>
      <c r="U74" s="10"/>
      <c r="AA74" s="7"/>
    </row>
    <row r="75" spans="19:27" ht="16" x14ac:dyDescent="0.35">
      <c r="S75" s="10"/>
      <c r="T75" s="10"/>
      <c r="U75" s="10"/>
      <c r="AA75" s="7"/>
    </row>
    <row r="76" spans="19:27" ht="16" x14ac:dyDescent="0.35">
      <c r="S76" s="10"/>
      <c r="T76" s="10"/>
      <c r="U76" s="10"/>
      <c r="AA76" s="7"/>
    </row>
    <row r="77" spans="19:27" ht="16" x14ac:dyDescent="0.35">
      <c r="S77" s="10"/>
      <c r="T77" s="10"/>
      <c r="U77" s="10"/>
      <c r="AA77" s="7"/>
    </row>
    <row r="78" spans="19:27" ht="16" x14ac:dyDescent="0.35">
      <c r="S78" s="10"/>
      <c r="T78" s="10"/>
      <c r="U78" s="10"/>
      <c r="AA78" s="7"/>
    </row>
    <row r="79" spans="19:27" ht="16" x14ac:dyDescent="0.35">
      <c r="S79" s="10"/>
      <c r="T79" s="10"/>
      <c r="U79" s="10"/>
      <c r="AA79" s="7"/>
    </row>
    <row r="80" spans="19:27" ht="16" x14ac:dyDescent="0.35">
      <c r="S80" s="10"/>
      <c r="T80" s="10"/>
      <c r="U80" s="10"/>
      <c r="AA80" s="7"/>
    </row>
    <row r="81" spans="19:27" ht="16" x14ac:dyDescent="0.35">
      <c r="S81" s="10"/>
      <c r="T81" s="10"/>
      <c r="U81" s="10"/>
      <c r="AA81" s="7"/>
    </row>
    <row r="82" spans="19:27" ht="16" x14ac:dyDescent="0.35">
      <c r="S82" s="10"/>
      <c r="T82" s="10"/>
      <c r="U82" s="10"/>
      <c r="AA82" s="7"/>
    </row>
    <row r="83" spans="19:27" ht="16" x14ac:dyDescent="0.35">
      <c r="S83" s="10"/>
      <c r="T83" s="10"/>
      <c r="U83" s="10"/>
      <c r="AA83" s="7"/>
    </row>
    <row r="84" spans="19:27" ht="16" x14ac:dyDescent="0.35">
      <c r="S84" s="10"/>
      <c r="T84" s="10"/>
      <c r="U84" s="10"/>
      <c r="AA84" s="7"/>
    </row>
    <row r="85" spans="19:27" ht="16" x14ac:dyDescent="0.35">
      <c r="S85" s="10"/>
      <c r="T85" s="10"/>
      <c r="U85" s="10"/>
      <c r="AA85" s="7"/>
    </row>
    <row r="86" spans="19:27" ht="16" x14ac:dyDescent="0.35">
      <c r="S86" s="10"/>
      <c r="T86" s="10"/>
      <c r="U86" s="10"/>
      <c r="AA86" s="7"/>
    </row>
    <row r="87" spans="19:27" ht="16" x14ac:dyDescent="0.35">
      <c r="S87" s="10"/>
      <c r="T87" s="10"/>
      <c r="U87" s="10"/>
      <c r="AA87" s="7"/>
    </row>
    <row r="88" spans="19:27" ht="16" x14ac:dyDescent="0.35">
      <c r="S88" s="10"/>
      <c r="T88" s="10"/>
      <c r="U88" s="10"/>
      <c r="AA88" s="7"/>
    </row>
    <row r="89" spans="19:27" ht="16" x14ac:dyDescent="0.35">
      <c r="S89" s="10"/>
      <c r="T89" s="10"/>
      <c r="U89" s="10"/>
      <c r="AA89" s="7"/>
    </row>
    <row r="90" spans="19:27" ht="16" x14ac:dyDescent="0.35">
      <c r="S90" s="10"/>
      <c r="T90" s="10"/>
      <c r="U90" s="10"/>
      <c r="AA90" s="7"/>
    </row>
    <row r="91" spans="19:27" ht="16" x14ac:dyDescent="0.35">
      <c r="S91" s="10"/>
      <c r="T91" s="10"/>
      <c r="U91" s="10"/>
      <c r="AA91" s="7"/>
    </row>
    <row r="92" spans="19:27" ht="16" x14ac:dyDescent="0.35">
      <c r="S92" s="10"/>
      <c r="T92" s="10"/>
      <c r="U92" s="10"/>
      <c r="AA92" s="7"/>
    </row>
    <row r="93" spans="19:27" ht="16" x14ac:dyDescent="0.35">
      <c r="S93" s="10"/>
      <c r="T93" s="10"/>
      <c r="U93" s="10"/>
      <c r="AA93" s="7"/>
    </row>
    <row r="94" spans="19:27" ht="16" x14ac:dyDescent="0.35">
      <c r="S94" s="10"/>
      <c r="T94" s="10"/>
      <c r="U94" s="10"/>
      <c r="AA94" s="7"/>
    </row>
    <row r="95" spans="19:27" ht="16" x14ac:dyDescent="0.35">
      <c r="S95" s="10"/>
      <c r="T95" s="10"/>
      <c r="U95" s="10"/>
      <c r="AA95" s="7"/>
    </row>
    <row r="96" spans="19:27" ht="16" x14ac:dyDescent="0.35">
      <c r="S96" s="10"/>
      <c r="T96" s="10"/>
      <c r="U96" s="10"/>
      <c r="AA96" s="7"/>
    </row>
    <row r="97" spans="19:27" ht="16" x14ac:dyDescent="0.35">
      <c r="S97" s="10"/>
      <c r="T97" s="10"/>
      <c r="U97" s="10"/>
      <c r="AA97" s="7"/>
    </row>
    <row r="98" spans="19:27" ht="16" x14ac:dyDescent="0.35">
      <c r="S98" s="10"/>
      <c r="T98" s="10"/>
      <c r="U98" s="10"/>
      <c r="AA98" s="7"/>
    </row>
    <row r="99" spans="19:27" ht="16" x14ac:dyDescent="0.35">
      <c r="S99" s="10"/>
      <c r="T99" s="10"/>
      <c r="U99" s="10"/>
      <c r="AA99" s="7"/>
    </row>
    <row r="100" spans="19:27" ht="16" x14ac:dyDescent="0.35">
      <c r="S100" s="10"/>
      <c r="T100" s="10"/>
      <c r="U100" s="10"/>
      <c r="AA100" s="7"/>
    </row>
    <row r="101" spans="19:27" ht="16" x14ac:dyDescent="0.35">
      <c r="S101" s="10"/>
      <c r="T101" s="10"/>
      <c r="U101" s="10"/>
      <c r="AA101" s="7"/>
    </row>
    <row r="102" spans="19:27" ht="16" x14ac:dyDescent="0.35">
      <c r="S102" s="10"/>
      <c r="T102" s="10"/>
      <c r="U102" s="10"/>
      <c r="AA102" s="7"/>
    </row>
    <row r="103" spans="19:27" ht="16" x14ac:dyDescent="0.35">
      <c r="S103" s="10"/>
      <c r="T103" s="10"/>
      <c r="U103" s="10"/>
      <c r="AA103" s="7"/>
    </row>
    <row r="104" spans="19:27" ht="16" x14ac:dyDescent="0.35">
      <c r="S104" s="10"/>
      <c r="T104" s="10"/>
      <c r="U104" s="10"/>
      <c r="AA104" s="7"/>
    </row>
    <row r="105" spans="19:27" ht="16" x14ac:dyDescent="0.35">
      <c r="S105" s="10"/>
      <c r="T105" s="10"/>
      <c r="U105" s="10"/>
      <c r="AA105" s="7"/>
    </row>
    <row r="106" spans="19:27" ht="16" x14ac:dyDescent="0.35">
      <c r="S106" s="10"/>
      <c r="T106" s="10"/>
      <c r="U106" s="10"/>
      <c r="AA106" s="7"/>
    </row>
    <row r="107" spans="19:27" ht="16" x14ac:dyDescent="0.35">
      <c r="S107" s="10"/>
      <c r="T107" s="10"/>
      <c r="U107" s="10"/>
      <c r="AA107" s="7"/>
    </row>
    <row r="108" spans="19:27" ht="16" x14ac:dyDescent="0.35">
      <c r="S108" s="10"/>
      <c r="T108" s="10"/>
      <c r="U108" s="10"/>
      <c r="AA108" s="7"/>
    </row>
    <row r="109" spans="19:27" ht="16" x14ac:dyDescent="0.35">
      <c r="S109" s="10"/>
      <c r="T109" s="10"/>
      <c r="U109" s="10"/>
      <c r="AA109" s="7"/>
    </row>
    <row r="110" spans="19:27" ht="16" x14ac:dyDescent="0.35">
      <c r="S110" s="10"/>
      <c r="T110" s="10"/>
      <c r="U110" s="10"/>
      <c r="AA110" s="7"/>
    </row>
    <row r="111" spans="19:27" ht="16" x14ac:dyDescent="0.35">
      <c r="S111" s="10"/>
      <c r="T111" s="10"/>
      <c r="U111" s="10"/>
      <c r="AA111" s="7"/>
    </row>
    <row r="112" spans="19:27" ht="16" x14ac:dyDescent="0.35">
      <c r="S112" s="10"/>
      <c r="T112" s="10"/>
      <c r="U112" s="10"/>
      <c r="AA112" s="7"/>
    </row>
    <row r="113" spans="19:27" ht="16" x14ac:dyDescent="0.35">
      <c r="S113" s="10"/>
      <c r="T113" s="10"/>
      <c r="U113" s="10"/>
      <c r="AA113" s="7"/>
    </row>
    <row r="114" spans="19:27" ht="16" x14ac:dyDescent="0.35">
      <c r="S114" s="10"/>
      <c r="T114" s="10"/>
      <c r="U114" s="10"/>
      <c r="AA114" s="7"/>
    </row>
    <row r="115" spans="19:27" ht="16" x14ac:dyDescent="0.35">
      <c r="S115" s="10"/>
      <c r="T115" s="10"/>
      <c r="U115" s="10"/>
      <c r="AA115" s="7"/>
    </row>
    <row r="116" spans="19:27" ht="16" x14ac:dyDescent="0.35">
      <c r="S116" s="10"/>
      <c r="T116" s="10"/>
      <c r="U116" s="10"/>
      <c r="AA116" s="7"/>
    </row>
    <row r="117" spans="19:27" ht="16" x14ac:dyDescent="0.35">
      <c r="S117" s="10"/>
      <c r="T117" s="10"/>
      <c r="U117" s="10"/>
      <c r="AA117" s="7"/>
    </row>
    <row r="118" spans="19:27" ht="16" x14ac:dyDescent="0.35">
      <c r="S118" s="10"/>
      <c r="T118" s="10"/>
      <c r="U118" s="10"/>
      <c r="AA118" s="7"/>
    </row>
    <row r="119" spans="19:27" ht="16" x14ac:dyDescent="0.35">
      <c r="S119" s="10"/>
      <c r="T119" s="10"/>
      <c r="U119" s="10"/>
      <c r="AA119" s="7"/>
    </row>
    <row r="120" spans="19:27" ht="16" x14ac:dyDescent="0.35">
      <c r="S120" s="10"/>
      <c r="T120" s="10"/>
      <c r="U120" s="10"/>
      <c r="AA120" s="7"/>
    </row>
    <row r="121" spans="19:27" ht="16" x14ac:dyDescent="0.35">
      <c r="S121" s="10"/>
      <c r="T121" s="10"/>
      <c r="U121" s="10"/>
      <c r="AA121" s="7"/>
    </row>
    <row r="122" spans="19:27" ht="16" x14ac:dyDescent="0.35">
      <c r="S122" s="10"/>
      <c r="T122" s="10"/>
      <c r="U122" s="10"/>
      <c r="AA122" s="7"/>
    </row>
    <row r="123" spans="19:27" ht="16" x14ac:dyDescent="0.35">
      <c r="S123" s="10"/>
      <c r="T123" s="10"/>
      <c r="U123" s="10"/>
      <c r="AA123" s="7"/>
    </row>
    <row r="124" spans="19:27" ht="16" x14ac:dyDescent="0.35">
      <c r="S124" s="10"/>
      <c r="T124" s="10"/>
      <c r="U124" s="10"/>
      <c r="AA124" s="7"/>
    </row>
    <row r="125" spans="19:27" ht="16" x14ac:dyDescent="0.35">
      <c r="S125" s="10"/>
      <c r="T125" s="10"/>
      <c r="U125" s="10"/>
      <c r="AA125" s="7"/>
    </row>
    <row r="126" spans="19:27" ht="16" x14ac:dyDescent="0.35">
      <c r="S126" s="10"/>
      <c r="T126" s="10"/>
      <c r="U126" s="10"/>
      <c r="AA126" s="7"/>
    </row>
    <row r="127" spans="19:27" ht="16" x14ac:dyDescent="0.35">
      <c r="S127" s="10"/>
      <c r="T127" s="10"/>
      <c r="U127" s="10"/>
      <c r="AA127" s="7"/>
    </row>
    <row r="128" spans="19:27" ht="16" x14ac:dyDescent="0.35">
      <c r="S128" s="10"/>
      <c r="T128" s="10"/>
      <c r="U128" s="10"/>
      <c r="AA128" s="7"/>
    </row>
    <row r="129" spans="19:27" ht="16" x14ac:dyDescent="0.35">
      <c r="S129" s="10"/>
      <c r="T129" s="10"/>
      <c r="U129" s="10"/>
      <c r="AA129" s="7"/>
    </row>
    <row r="130" spans="19:27" ht="16" x14ac:dyDescent="0.35">
      <c r="S130" s="10"/>
      <c r="T130" s="10"/>
      <c r="U130" s="10"/>
      <c r="AA130" s="7"/>
    </row>
    <row r="131" spans="19:27" ht="16" x14ac:dyDescent="0.35">
      <c r="S131" s="10"/>
      <c r="T131" s="10"/>
      <c r="U131" s="10"/>
      <c r="AA131" s="7"/>
    </row>
    <row r="132" spans="19:27" ht="16" x14ac:dyDescent="0.35">
      <c r="S132" s="10"/>
      <c r="T132" s="10"/>
      <c r="U132" s="10"/>
      <c r="AA132" s="7"/>
    </row>
    <row r="133" spans="19:27" ht="16" x14ac:dyDescent="0.35">
      <c r="S133" s="10"/>
      <c r="T133" s="10"/>
      <c r="U133" s="10"/>
      <c r="AA133" s="7"/>
    </row>
    <row r="134" spans="19:27" ht="16" x14ac:dyDescent="0.35">
      <c r="S134" s="10"/>
      <c r="T134" s="10"/>
      <c r="U134" s="10"/>
      <c r="AA134" s="7"/>
    </row>
    <row r="135" spans="19:27" ht="16" x14ac:dyDescent="0.35">
      <c r="S135" s="10"/>
      <c r="T135" s="10"/>
      <c r="U135" s="10"/>
      <c r="AA135" s="7"/>
    </row>
    <row r="136" spans="19:27" ht="16" x14ac:dyDescent="0.35">
      <c r="S136" s="10"/>
      <c r="T136" s="10"/>
      <c r="U136" s="10"/>
      <c r="AA136" s="7"/>
    </row>
    <row r="137" spans="19:27" ht="16" x14ac:dyDescent="0.35">
      <c r="S137" s="10"/>
      <c r="T137" s="10"/>
      <c r="U137" s="10"/>
      <c r="AA137" s="7"/>
    </row>
    <row r="138" spans="19:27" ht="16" x14ac:dyDescent="0.35">
      <c r="S138" s="10"/>
      <c r="T138" s="10"/>
      <c r="U138" s="10"/>
      <c r="AA138" s="7"/>
    </row>
    <row r="139" spans="19:27" ht="16" x14ac:dyDescent="0.35">
      <c r="S139" s="10"/>
      <c r="T139" s="10"/>
      <c r="U139" s="10"/>
      <c r="AA139" s="7"/>
    </row>
    <row r="140" spans="19:27" ht="16" x14ac:dyDescent="0.35">
      <c r="S140" s="10"/>
      <c r="T140" s="10"/>
      <c r="U140" s="10"/>
      <c r="AA140" s="7"/>
    </row>
    <row r="141" spans="19:27" ht="16" x14ac:dyDescent="0.35">
      <c r="S141" s="10"/>
      <c r="T141" s="10"/>
      <c r="U141" s="10"/>
      <c r="AA141" s="7"/>
    </row>
    <row r="142" spans="19:27" ht="16" x14ac:dyDescent="0.35">
      <c r="S142" s="10"/>
      <c r="T142" s="10"/>
      <c r="U142" s="10"/>
      <c r="AA142" s="7"/>
    </row>
    <row r="143" spans="19:27" ht="16" x14ac:dyDescent="0.35">
      <c r="S143" s="10"/>
      <c r="T143" s="10"/>
      <c r="U143" s="10"/>
      <c r="AA143" s="7"/>
    </row>
    <row r="144" spans="19:27" ht="16" x14ac:dyDescent="0.35">
      <c r="S144" s="10"/>
      <c r="T144" s="10"/>
      <c r="U144" s="10"/>
      <c r="AA144" s="7"/>
    </row>
    <row r="145" spans="19:27" ht="16" x14ac:dyDescent="0.35">
      <c r="S145" s="10"/>
      <c r="T145" s="10"/>
      <c r="U145" s="10"/>
      <c r="AA145" s="7"/>
    </row>
    <row r="146" spans="19:27" ht="16" x14ac:dyDescent="0.35">
      <c r="S146" s="10"/>
      <c r="T146" s="10"/>
      <c r="U146" s="10"/>
      <c r="AA146" s="7"/>
    </row>
    <row r="147" spans="19:27" ht="16" x14ac:dyDescent="0.35">
      <c r="S147" s="10"/>
      <c r="T147" s="10"/>
      <c r="U147" s="10"/>
      <c r="AA147" s="7"/>
    </row>
    <row r="148" spans="19:27" ht="16" x14ac:dyDescent="0.35">
      <c r="S148" s="10"/>
      <c r="T148" s="10"/>
      <c r="U148" s="10"/>
      <c r="AA148" s="7"/>
    </row>
    <row r="149" spans="19:27" x14ac:dyDescent="0.35">
      <c r="S149" s="10"/>
      <c r="T149" s="10"/>
      <c r="U149" s="10"/>
    </row>
    <row r="150" spans="19:27" x14ac:dyDescent="0.35">
      <c r="S150" s="10"/>
      <c r="T150" s="10"/>
      <c r="U150" s="10"/>
    </row>
    <row r="151" spans="19:27" x14ac:dyDescent="0.35">
      <c r="S151" s="10"/>
      <c r="T151" s="10"/>
      <c r="U151" s="10"/>
    </row>
    <row r="152" spans="19:27" x14ac:dyDescent="0.35">
      <c r="S152" s="10"/>
      <c r="T152" s="10"/>
      <c r="U152" s="10"/>
    </row>
    <row r="153" spans="19:27" x14ac:dyDescent="0.35">
      <c r="S153" s="10"/>
      <c r="T153" s="10"/>
      <c r="U153" s="10"/>
    </row>
    <row r="154" spans="19:27" x14ac:dyDescent="0.35">
      <c r="S154" s="10"/>
      <c r="T154" s="10"/>
      <c r="U154" s="10"/>
    </row>
    <row r="155" spans="19:27" x14ac:dyDescent="0.35">
      <c r="S155" s="10"/>
      <c r="T155" s="10"/>
      <c r="U155" s="10"/>
    </row>
    <row r="156" spans="19:27" x14ac:dyDescent="0.35">
      <c r="S156" s="10"/>
      <c r="T156" s="10"/>
      <c r="U156" s="10"/>
    </row>
    <row r="157" spans="19:27" x14ac:dyDescent="0.35">
      <c r="S157" s="10"/>
      <c r="T157" s="10"/>
      <c r="U157" s="10"/>
    </row>
    <row r="158" spans="19:27" x14ac:dyDescent="0.35">
      <c r="S158" s="10"/>
      <c r="T158" s="10"/>
      <c r="U158" s="10"/>
    </row>
    <row r="159" spans="19:27" x14ac:dyDescent="0.35">
      <c r="S159" s="10"/>
      <c r="T159" s="10"/>
      <c r="U159" s="10"/>
    </row>
    <row r="160" spans="19:27" x14ac:dyDescent="0.35">
      <c r="S160" s="10"/>
      <c r="T160" s="10"/>
      <c r="U160" s="10"/>
    </row>
    <row r="161" spans="19:21" x14ac:dyDescent="0.35">
      <c r="S161" s="10"/>
      <c r="T161" s="10"/>
      <c r="U161" s="10"/>
    </row>
    <row r="162" spans="19:21" x14ac:dyDescent="0.35">
      <c r="S162" s="10"/>
      <c r="T162" s="10"/>
      <c r="U162" s="10"/>
    </row>
    <row r="163" spans="19:21" x14ac:dyDescent="0.35">
      <c r="S163" s="10"/>
      <c r="T163" s="10"/>
      <c r="U163" s="10"/>
    </row>
    <row r="164" spans="19:21" x14ac:dyDescent="0.35">
      <c r="S164" s="10"/>
      <c r="T164" s="10"/>
      <c r="U164" s="10"/>
    </row>
    <row r="165" spans="19:21" x14ac:dyDescent="0.35">
      <c r="S165" s="10"/>
      <c r="T165" s="10"/>
      <c r="U165" s="10"/>
    </row>
    <row r="166" spans="19:21" x14ac:dyDescent="0.35">
      <c r="S166" s="10"/>
      <c r="T166" s="10"/>
      <c r="U166" s="10"/>
    </row>
    <row r="167" spans="19:21" x14ac:dyDescent="0.35">
      <c r="S167" s="10"/>
      <c r="T167" s="10"/>
      <c r="U167" s="10"/>
    </row>
    <row r="168" spans="19:21" x14ac:dyDescent="0.35">
      <c r="S168" s="10"/>
      <c r="T168" s="10"/>
      <c r="U168" s="10"/>
    </row>
    <row r="169" spans="19:21" x14ac:dyDescent="0.35">
      <c r="S169" s="10"/>
      <c r="T169" s="10"/>
      <c r="U169" s="10"/>
    </row>
    <row r="170" spans="19:21" x14ac:dyDescent="0.35">
      <c r="S170" s="10"/>
      <c r="T170" s="10"/>
      <c r="U170" s="10"/>
    </row>
    <row r="171" spans="19:21" x14ac:dyDescent="0.35">
      <c r="S171" s="10"/>
      <c r="T171" s="10"/>
      <c r="U171" s="10"/>
    </row>
    <row r="172" spans="19:21" x14ac:dyDescent="0.35">
      <c r="S172" s="10"/>
      <c r="T172" s="10"/>
      <c r="U172" s="10"/>
    </row>
    <row r="173" spans="19:21" x14ac:dyDescent="0.35">
      <c r="S173" s="10"/>
      <c r="T173" s="10"/>
      <c r="U173" s="10"/>
    </row>
    <row r="174" spans="19:21" x14ac:dyDescent="0.35">
      <c r="S174" s="10"/>
      <c r="T174" s="10"/>
      <c r="U174" s="10"/>
    </row>
    <row r="175" spans="19:21" x14ac:dyDescent="0.35">
      <c r="S175" s="10"/>
      <c r="T175" s="10"/>
      <c r="U175" s="10"/>
    </row>
    <row r="176" spans="19:21" x14ac:dyDescent="0.35">
      <c r="S176" s="10"/>
      <c r="T176" s="10"/>
      <c r="U176" s="10"/>
    </row>
    <row r="177" spans="19:21" x14ac:dyDescent="0.35">
      <c r="S177" s="10"/>
      <c r="T177" s="10"/>
      <c r="U177" s="10"/>
    </row>
    <row r="178" spans="19:21" x14ac:dyDescent="0.35">
      <c r="S178" s="10"/>
      <c r="T178" s="10"/>
      <c r="U178" s="10"/>
    </row>
    <row r="179" spans="19:21" x14ac:dyDescent="0.35">
      <c r="S179" s="10"/>
      <c r="T179" s="10"/>
      <c r="U179" s="10"/>
    </row>
    <row r="180" spans="19:21" x14ac:dyDescent="0.35">
      <c r="S180" s="10"/>
      <c r="T180" s="10"/>
      <c r="U180" s="10"/>
    </row>
    <row r="181" spans="19:21" x14ac:dyDescent="0.35">
      <c r="S181" s="10"/>
      <c r="T181" s="10"/>
      <c r="U181" s="10"/>
    </row>
    <row r="182" spans="19:21" x14ac:dyDescent="0.35">
      <c r="S182" s="10"/>
      <c r="T182" s="10"/>
      <c r="U182" s="10"/>
    </row>
    <row r="183" spans="19:21" x14ac:dyDescent="0.35">
      <c r="S183" s="10"/>
      <c r="T183" s="10"/>
      <c r="U183" s="10"/>
    </row>
    <row r="184" spans="19:21" x14ac:dyDescent="0.35">
      <c r="S184" s="10"/>
      <c r="T184" s="10"/>
      <c r="U184" s="10"/>
    </row>
    <row r="185" spans="19:21" x14ac:dyDescent="0.35">
      <c r="S185" s="10"/>
      <c r="T185" s="10"/>
      <c r="U185" s="10"/>
    </row>
    <row r="186" spans="19:21" x14ac:dyDescent="0.35">
      <c r="S186" s="10"/>
      <c r="T186" s="10"/>
      <c r="U186" s="10"/>
    </row>
    <row r="187" spans="19:21" x14ac:dyDescent="0.35">
      <c r="S187" s="10"/>
      <c r="T187" s="10"/>
      <c r="U187" s="10"/>
    </row>
    <row r="188" spans="19:21" x14ac:dyDescent="0.35">
      <c r="S188" s="10"/>
      <c r="T188" s="10"/>
      <c r="U188" s="10"/>
    </row>
    <row r="189" spans="19:21" x14ac:dyDescent="0.35">
      <c r="S189" s="10"/>
      <c r="T189" s="10"/>
      <c r="U189" s="10"/>
    </row>
    <row r="190" spans="19:21" x14ac:dyDescent="0.35">
      <c r="S190" s="10"/>
      <c r="T190" s="10"/>
      <c r="U190" s="10"/>
    </row>
    <row r="191" spans="19:21" x14ac:dyDescent="0.35">
      <c r="S191" s="10"/>
      <c r="T191" s="10"/>
      <c r="U191" s="10"/>
    </row>
    <row r="192" spans="19:21" x14ac:dyDescent="0.35">
      <c r="S192" s="10"/>
      <c r="T192" s="10"/>
      <c r="U192" s="10"/>
    </row>
    <row r="193" spans="19:21" x14ac:dyDescent="0.35">
      <c r="S193" s="10"/>
      <c r="T193" s="10"/>
      <c r="U193" s="10"/>
    </row>
    <row r="194" spans="19:21" x14ac:dyDescent="0.35">
      <c r="S194" s="10"/>
      <c r="T194" s="10"/>
      <c r="U194" s="10"/>
    </row>
    <row r="195" spans="19:21" x14ac:dyDescent="0.35">
      <c r="S195" s="10"/>
      <c r="T195" s="10"/>
      <c r="U195" s="10"/>
    </row>
    <row r="196" spans="19:21" x14ac:dyDescent="0.35">
      <c r="S196" s="10"/>
      <c r="T196" s="10"/>
      <c r="U196" s="10"/>
    </row>
    <row r="197" spans="19:21" x14ac:dyDescent="0.35">
      <c r="S197" s="10"/>
      <c r="T197" s="10"/>
      <c r="U197" s="10"/>
    </row>
    <row r="198" spans="19:21" x14ac:dyDescent="0.35">
      <c r="S198" s="10"/>
      <c r="T198" s="10"/>
      <c r="U198" s="10"/>
    </row>
    <row r="199" spans="19:21" x14ac:dyDescent="0.35">
      <c r="S199" s="10"/>
      <c r="T199" s="10"/>
      <c r="U199" s="10"/>
    </row>
    <row r="200" spans="19:21" x14ac:dyDescent="0.35">
      <c r="S200" s="10"/>
      <c r="T200" s="10"/>
      <c r="U200" s="10"/>
    </row>
    <row r="201" spans="19:21" x14ac:dyDescent="0.35">
      <c r="S201" s="10"/>
      <c r="T201" s="10"/>
      <c r="U201" s="10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3A68-6D75-4706-A260-F61A65EA9C71}">
  <dimension ref="A1:G101"/>
  <sheetViews>
    <sheetView workbookViewId="0">
      <selection activeCell="A2" sqref="A2"/>
    </sheetView>
  </sheetViews>
  <sheetFormatPr defaultRowHeight="14.5" x14ac:dyDescent="0.35"/>
  <cols>
    <col min="1" max="1" width="22.7265625" style="2" customWidth="1"/>
    <col min="2" max="2" width="35.81640625" style="2" bestFit="1" customWidth="1"/>
    <col min="3" max="3" width="39.81640625" style="2" bestFit="1" customWidth="1"/>
    <col min="4" max="4" width="49.7265625" style="2" bestFit="1" customWidth="1"/>
    <col min="5" max="5" width="32" style="2" bestFit="1" customWidth="1"/>
    <col min="6" max="6" width="34.26953125" bestFit="1" customWidth="1"/>
    <col min="7" max="7" width="33.81640625" customWidth="1"/>
  </cols>
  <sheetData>
    <row r="1" spans="1:7" ht="21" x14ac:dyDescent="0.5">
      <c r="A1" s="5" t="s">
        <v>617</v>
      </c>
      <c r="B1" s="5" t="s">
        <v>610</v>
      </c>
      <c r="C1" s="5" t="s">
        <v>609</v>
      </c>
      <c r="D1" s="5" t="s">
        <v>613</v>
      </c>
      <c r="E1" s="5" t="s">
        <v>608</v>
      </c>
      <c r="F1" s="9" t="s">
        <v>614</v>
      </c>
      <c r="G1" s="5" t="s">
        <v>622</v>
      </c>
    </row>
    <row r="2" spans="1:7" x14ac:dyDescent="0.35">
      <c r="G2" s="2"/>
    </row>
    <row r="3" spans="1:7" x14ac:dyDescent="0.35">
      <c r="G3" s="2"/>
    </row>
    <row r="4" spans="1:7" x14ac:dyDescent="0.35">
      <c r="G4" s="2"/>
    </row>
    <row r="5" spans="1:7" x14ac:dyDescent="0.35">
      <c r="G5" s="2"/>
    </row>
    <row r="6" spans="1:7" x14ac:dyDescent="0.35">
      <c r="G6" s="2"/>
    </row>
    <row r="7" spans="1:7" x14ac:dyDescent="0.35">
      <c r="G7" s="2"/>
    </row>
    <row r="8" spans="1:7" x14ac:dyDescent="0.35">
      <c r="G8" s="2"/>
    </row>
    <row r="9" spans="1:7" x14ac:dyDescent="0.35">
      <c r="G9" s="2"/>
    </row>
    <row r="10" spans="1:7" x14ac:dyDescent="0.35">
      <c r="G10" s="2"/>
    </row>
    <row r="11" spans="1:7" x14ac:dyDescent="0.35">
      <c r="G11" s="2"/>
    </row>
    <row r="12" spans="1:7" x14ac:dyDescent="0.35">
      <c r="G12" s="2"/>
    </row>
    <row r="13" spans="1:7" x14ac:dyDescent="0.35">
      <c r="G13" s="2"/>
    </row>
    <row r="14" spans="1:7" x14ac:dyDescent="0.35">
      <c r="G14" s="2"/>
    </row>
    <row r="15" spans="1:7" x14ac:dyDescent="0.35">
      <c r="G15" s="2"/>
    </row>
    <row r="16" spans="1:7" x14ac:dyDescent="0.35">
      <c r="G16" s="2"/>
    </row>
    <row r="17" spans="7:7" x14ac:dyDescent="0.35">
      <c r="G17" s="2"/>
    </row>
    <row r="18" spans="7:7" x14ac:dyDescent="0.35">
      <c r="G18" s="2"/>
    </row>
    <row r="19" spans="7:7" x14ac:dyDescent="0.35">
      <c r="G19" s="2"/>
    </row>
    <row r="20" spans="7:7" x14ac:dyDescent="0.35">
      <c r="G20" s="2"/>
    </row>
    <row r="21" spans="7:7" x14ac:dyDescent="0.35">
      <c r="G21" s="2"/>
    </row>
    <row r="22" spans="7:7" x14ac:dyDescent="0.35">
      <c r="G22" s="2"/>
    </row>
    <row r="23" spans="7:7" x14ac:dyDescent="0.35">
      <c r="G23" s="2"/>
    </row>
    <row r="24" spans="7:7" x14ac:dyDescent="0.35">
      <c r="G24" s="2"/>
    </row>
    <row r="25" spans="7:7" x14ac:dyDescent="0.35">
      <c r="G25" s="2"/>
    </row>
    <row r="26" spans="7:7" x14ac:dyDescent="0.35">
      <c r="G26" s="2"/>
    </row>
    <row r="27" spans="7:7" x14ac:dyDescent="0.35">
      <c r="G27" s="2"/>
    </row>
    <row r="28" spans="7:7" x14ac:dyDescent="0.35">
      <c r="G28" s="2"/>
    </row>
    <row r="29" spans="7:7" x14ac:dyDescent="0.35">
      <c r="G29" s="2"/>
    </row>
    <row r="30" spans="7:7" x14ac:dyDescent="0.35">
      <c r="G30" s="2"/>
    </row>
    <row r="31" spans="7:7" x14ac:dyDescent="0.35">
      <c r="G31" s="2"/>
    </row>
    <row r="32" spans="7:7" x14ac:dyDescent="0.35">
      <c r="G32" s="2"/>
    </row>
    <row r="33" spans="7:7" x14ac:dyDescent="0.35">
      <c r="G33" s="2"/>
    </row>
    <row r="34" spans="7:7" x14ac:dyDescent="0.35">
      <c r="G34" s="2"/>
    </row>
    <row r="35" spans="7:7" x14ac:dyDescent="0.35">
      <c r="G35" s="2"/>
    </row>
    <row r="36" spans="7:7" x14ac:dyDescent="0.35">
      <c r="G36" s="2"/>
    </row>
    <row r="37" spans="7:7" x14ac:dyDescent="0.35">
      <c r="G37" s="2"/>
    </row>
    <row r="38" spans="7:7" x14ac:dyDescent="0.35">
      <c r="G38" s="2"/>
    </row>
    <row r="39" spans="7:7" x14ac:dyDescent="0.35">
      <c r="G39" s="2"/>
    </row>
    <row r="40" spans="7:7" x14ac:dyDescent="0.35">
      <c r="G40" s="2"/>
    </row>
    <row r="41" spans="7:7" x14ac:dyDescent="0.35">
      <c r="G41" s="2"/>
    </row>
    <row r="42" spans="7:7" x14ac:dyDescent="0.35">
      <c r="G42" s="2"/>
    </row>
    <row r="43" spans="7:7" x14ac:dyDescent="0.35">
      <c r="G43" s="2"/>
    </row>
    <row r="44" spans="7:7" x14ac:dyDescent="0.35">
      <c r="G44" s="2"/>
    </row>
    <row r="45" spans="7:7" x14ac:dyDescent="0.35">
      <c r="G45" s="2"/>
    </row>
    <row r="46" spans="7:7" x14ac:dyDescent="0.35">
      <c r="G46" s="2"/>
    </row>
    <row r="47" spans="7:7" x14ac:dyDescent="0.35">
      <c r="G47" s="2"/>
    </row>
    <row r="48" spans="7:7" x14ac:dyDescent="0.35">
      <c r="G48" s="2"/>
    </row>
    <row r="49" spans="7:7" x14ac:dyDescent="0.35">
      <c r="G49" s="2"/>
    </row>
    <row r="50" spans="7:7" x14ac:dyDescent="0.35">
      <c r="G50" s="2"/>
    </row>
    <row r="51" spans="7:7" x14ac:dyDescent="0.35">
      <c r="G51" s="2"/>
    </row>
    <row r="52" spans="7:7" x14ac:dyDescent="0.35">
      <c r="G52" s="2"/>
    </row>
    <row r="53" spans="7:7" x14ac:dyDescent="0.35">
      <c r="G53" s="2"/>
    </row>
    <row r="54" spans="7:7" x14ac:dyDescent="0.35">
      <c r="G54" s="2"/>
    </row>
    <row r="55" spans="7:7" x14ac:dyDescent="0.35">
      <c r="G55" s="2"/>
    </row>
    <row r="56" spans="7:7" x14ac:dyDescent="0.35">
      <c r="G56" s="2"/>
    </row>
    <row r="57" spans="7:7" x14ac:dyDescent="0.35">
      <c r="G57" s="2"/>
    </row>
    <row r="58" spans="7:7" x14ac:dyDescent="0.35">
      <c r="G58" s="2"/>
    </row>
    <row r="59" spans="7:7" x14ac:dyDescent="0.35">
      <c r="G59" s="2"/>
    </row>
    <row r="60" spans="7:7" x14ac:dyDescent="0.35">
      <c r="G60" s="2"/>
    </row>
    <row r="61" spans="7:7" x14ac:dyDescent="0.35">
      <c r="G61" s="2"/>
    </row>
    <row r="62" spans="7:7" x14ac:dyDescent="0.35">
      <c r="G62" s="2"/>
    </row>
    <row r="63" spans="7:7" x14ac:dyDescent="0.35">
      <c r="G63" s="2"/>
    </row>
    <row r="64" spans="7:7" x14ac:dyDescent="0.35">
      <c r="G64" s="2"/>
    </row>
    <row r="65" spans="7:7" x14ac:dyDescent="0.35">
      <c r="G65" s="2"/>
    </row>
    <row r="66" spans="7:7" x14ac:dyDescent="0.35">
      <c r="G66" s="2"/>
    </row>
    <row r="67" spans="7:7" x14ac:dyDescent="0.35">
      <c r="G67" s="2"/>
    </row>
    <row r="68" spans="7:7" x14ac:dyDescent="0.35">
      <c r="G68" s="2"/>
    </row>
    <row r="69" spans="7:7" x14ac:dyDescent="0.35">
      <c r="G69" s="2"/>
    </row>
    <row r="70" spans="7:7" x14ac:dyDescent="0.35">
      <c r="G70" s="2"/>
    </row>
    <row r="71" spans="7:7" x14ac:dyDescent="0.35">
      <c r="G71" s="2"/>
    </row>
    <row r="72" spans="7:7" x14ac:dyDescent="0.35">
      <c r="G72" s="2"/>
    </row>
    <row r="73" spans="7:7" x14ac:dyDescent="0.35">
      <c r="G73" s="2"/>
    </row>
    <row r="74" spans="7:7" x14ac:dyDescent="0.35">
      <c r="G74" s="2"/>
    </row>
    <row r="75" spans="7:7" x14ac:dyDescent="0.35">
      <c r="G75" s="2"/>
    </row>
    <row r="76" spans="7:7" x14ac:dyDescent="0.35">
      <c r="G76" s="2"/>
    </row>
    <row r="77" spans="7:7" x14ac:dyDescent="0.35">
      <c r="G77" s="2"/>
    </row>
    <row r="78" spans="7:7" x14ac:dyDescent="0.35">
      <c r="G78" s="2"/>
    </row>
    <row r="79" spans="7:7" x14ac:dyDescent="0.35">
      <c r="G79" s="2"/>
    </row>
    <row r="80" spans="7:7" x14ac:dyDescent="0.35">
      <c r="G80" s="2"/>
    </row>
    <row r="81" spans="7:7" x14ac:dyDescent="0.35">
      <c r="G81" s="2"/>
    </row>
    <row r="82" spans="7:7" x14ac:dyDescent="0.35">
      <c r="G82" s="2"/>
    </row>
    <row r="83" spans="7:7" x14ac:dyDescent="0.35">
      <c r="G83" s="2"/>
    </row>
    <row r="84" spans="7:7" x14ac:dyDescent="0.35">
      <c r="G84" s="2"/>
    </row>
    <row r="85" spans="7:7" x14ac:dyDescent="0.35">
      <c r="G85" s="2"/>
    </row>
    <row r="86" spans="7:7" x14ac:dyDescent="0.35">
      <c r="G86" s="2"/>
    </row>
    <row r="87" spans="7:7" x14ac:dyDescent="0.35">
      <c r="G87" s="2"/>
    </row>
    <row r="88" spans="7:7" x14ac:dyDescent="0.35">
      <c r="G88" s="2"/>
    </row>
    <row r="89" spans="7:7" x14ac:dyDescent="0.35">
      <c r="G89" s="2"/>
    </row>
    <row r="90" spans="7:7" x14ac:dyDescent="0.35">
      <c r="G90" s="2"/>
    </row>
    <row r="91" spans="7:7" x14ac:dyDescent="0.35">
      <c r="G91" s="2"/>
    </row>
    <row r="92" spans="7:7" x14ac:dyDescent="0.35">
      <c r="G92" s="2"/>
    </row>
    <row r="93" spans="7:7" x14ac:dyDescent="0.35">
      <c r="G93" s="2"/>
    </row>
    <row r="94" spans="7:7" x14ac:dyDescent="0.35">
      <c r="G94" s="2"/>
    </row>
    <row r="95" spans="7:7" x14ac:dyDescent="0.35">
      <c r="G95" s="2"/>
    </row>
    <row r="96" spans="7:7" x14ac:dyDescent="0.35">
      <c r="G96" s="2"/>
    </row>
    <row r="97" spans="7:7" x14ac:dyDescent="0.35">
      <c r="G97" s="2"/>
    </row>
    <row r="98" spans="7:7" x14ac:dyDescent="0.35">
      <c r="G98" s="2"/>
    </row>
    <row r="99" spans="7:7" x14ac:dyDescent="0.35">
      <c r="G99" s="2"/>
    </row>
    <row r="100" spans="7:7" x14ac:dyDescent="0.35">
      <c r="G100" s="2"/>
    </row>
    <row r="101" spans="7:7" x14ac:dyDescent="0.35">
      <c r="G101" s="2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Onsite</vt:lpstr>
      <vt:lpstr>WFH</vt:lpstr>
      <vt:lpstr>Available 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Roberts, Daniel</cp:lastModifiedBy>
  <dcterms:created xsi:type="dcterms:W3CDTF">2026-03-23T12:33:38Z</dcterms:created>
  <dcterms:modified xsi:type="dcterms:W3CDTF">2026-09-22T15:13:20Z</dcterms:modified>
</cp:coreProperties>
</file>